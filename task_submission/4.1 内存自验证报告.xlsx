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1a72cbde5f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内存（如需要）" sheetId="4" r:id="R5b8fd4eafbc1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#,##0"/>
    <x:numFmt numFmtId="201" formatCode="0.000"/>
  </x:numFmts>
  <x:fonts count="27">
    <x:font>
      <x:sz val="10"/>
      <x:color theme="1"/>
      <x:name val="宋体"/>
      <x:scheme val="minor"/>
    </x:font>
    <x:font>
      <x:sz val="11"/>
      <x:name val="宋体"/>
    </x:font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1"/>
      <x:color theme="1"/>
      <x:name val="Microsoft YaHei"/>
      <x:scheme val="minor"/>
    </x:font>
    <x:font>
      <x:sz val="10"/>
      <x:name val="Microsoft YaHei"/>
    </x:font>
    <x:font>
      <x:sz val="10"/>
      <x:color theme="1"/>
      <x:name val="Microsoft YaHei"/>
      <x:scheme val="minor"/>
    </x:font>
    <x:font>
      <x:b/>
      <x:sz val="10"/>
      <x:name val="Microsoft YaHei"/>
    </x:font>
    <x:font>
      <x:b/>
      <x:sz val="10"/>
      <x:color theme="1"/>
      <x:name val="Microsoft YaHei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E8EEF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 applyNumberFormat="0" applyFont="0" applyFill="0" applyBorder="0" applyAlignment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4" applyNumberFormat="0" applyAlignment="0" applyProtection="0">
      <x:alignment vertical="center"/>
    </x:xf>
    <x:xf numFmtId="0" fontId="12" fillId="4" borderId="5" applyNumberFormat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24">
    <x:xf numFmtId="0" fontId="0" fillId="0" borderId="0" xfId="0">
      <x:alignment vertical="center"/>
    </x:xf>
    <x:xf numFmtId="49" fontId="0" fillId="0" borderId="0" xfId="0" applyNumberFormat="1">
      <x:alignment vertical="center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left" vertical="center"/>
    </x:xf>
    <x:xf numFmtId="49" fontId="1" fillId="0" borderId="0" xfId="0" applyNumberFormat="1" applyFont="1">
      <x:alignment vertical="center"/>
    </x:xf>
    <x:xf numFmtId="0" fontId="1" fillId="0" borderId="0" xfId="0" applyFont="1">
      <x:alignment vertical="center"/>
    </x:xf>
    <x:xf numFmtId="0" fontId="0" fillId="0" borderId="0" xfId="0" applyAlignment="1">
      <x:alignment vertical="center" wrapText="1"/>
    </x:xf>
    <x:xf numFmtId="49" fontId="22" fillId="0" borderId="0" xfId="0" applyNumberFormat="1" applyFont="1" applyFill="1" applyBorder="1" applyAlignment="1">
      <x:alignment horizontal="left" vertical="center" wrapText="1"/>
    </x:xf>
    <x:xf numFmtId="49" fontId="22" fillId="0" borderId="0" xfId="0" applyNumberFormat="1" applyFont="1" applyFill="1" applyBorder="1" applyAlignment="1">
      <x:alignment horizontal="left" vertical="center"/>
    </x:xf>
    <x:xf numFmtId="49" fontId="23" fillId="0" borderId="0" xfId="0" applyNumberFormat="1" applyFont="1" applyFill="1" applyBorder="1" applyAlignment="1">
      <x:alignment vertical="center"/>
    </x:xf>
    <x:xf numFmtId="0" fontId="23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24" fillId="0" borderId="0" xfId="0" applyNumberFormat="1" applyFont="1" applyFill="1" applyBorder="1" applyAlignment="1">
      <x:alignment vertical="center"/>
    </x:xf>
    <x:xf numFmtId="49" fontId="23" fillId="33" borderId="0" xfId="0" applyNumberFormat="1" applyFont="1" applyFill="1" applyBorder="1" applyAlignment="1">
      <x:alignment vertical="center"/>
    </x:xf>
    <x:xf numFmtId="0" fontId="23" fillId="33" borderId="0" xfId="0" applyNumberFormat="1" applyFont="1" applyFill="1" applyBorder="1" applyAlignment="1">
      <x:alignment vertical="center"/>
    </x:xf>
    <x:xf numFmtId="0" fontId="24" fillId="33" borderId="0" xfId="0" applyNumberFormat="1" applyFont="1" applyFill="1" applyBorder="1" applyAlignment="1">
      <x:alignment vertical="center" wrapText="1"/>
    </x:xf>
    <x:xf numFmtId="0" fontId="24" fillId="33" borderId="0" xfId="0" applyNumberFormat="1" applyFont="1" applyFill="1" applyBorder="1" applyAlignment="1">
      <x:alignment vertical="center"/>
    </x:xf>
    <x:xf numFmtId="49" fontId="25" fillId="33" borderId="0" xfId="0" applyNumberFormat="1" applyFont="1" applyFill="1" applyBorder="1" applyAlignment="1">
      <x:alignment vertical="center"/>
    </x:xf>
    <x:xf numFmtId="0" fontId="25" fillId="33" borderId="0" xfId="0" applyNumberFormat="1" applyFont="1" applyFill="1" applyBorder="1" applyAlignment="1">
      <x:alignment vertical="center"/>
    </x:xf>
    <x:xf numFmtId="0" fontId="26" fillId="33" borderId="0" xfId="0" applyNumberFormat="1" applyFont="1" applyFill="1" applyBorder="1" applyAlignment="1">
      <x:alignment vertical="center" wrapText="1"/>
    </x:xf>
    <x:xf numFmtId="0" fontId="26" fillId="33" borderId="0" xfId="0" applyNumberFormat="1" applyFont="1" applyFill="1" applyBorder="1" applyAlignment="1">
      <x:alignment vertical="center"/>
    </x:xf>
    <x:xf numFmtId="49" fontId="23" fillId="0" borderId="0" xfId="0" applyNumberFormat="1" applyFont="1" applyFill="1" applyBorder="1" applyAlignment="1">
      <x:alignment vertical="center" wrapText="1"/>
    </x:xf>
    <x:xf numFmtId="200" fontId="24" fillId="0" borderId="0" xfId="0" applyNumberFormat="1" applyFont="1" applyFill="1" applyBorder="1" applyAlignment="1">
      <x:alignment vertical="center"/>
    </x:xf>
    <x:xf numFmtId="201" fontId="24" fillId="0" borderId="0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ont>
        <x:color rgb="FFA61B1B"/>
      </x:font>
      <x:fill>
        <x:patternFill>
          <x:bgColor rgb="FFFD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8790634cdc45c8" /><Relationship Type="http://schemas.openxmlformats.org/officeDocument/2006/relationships/theme" Target="/xl/theme/theme1.xml" Id="R2fce8e0da2bb46c9" /><Relationship Type="http://schemas.openxmlformats.org/officeDocument/2006/relationships/sharedStrings" Target="/xl/sharedStrings.xml" Id="R64d17050205f4fee" /><Relationship Type="http://schemas.openxmlformats.org/officeDocument/2006/relationships/worksheet" Target="/xl/worksheets/sheet1.xml" Id="R5b8fd4eafbc142f4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defaultColWidth="13.714285850524902" defaultRowHeight="18"/>
  <x:cols>
    <x:col min="1" max="1" width="48" style="1" hidden="0" customWidth="1"/>
    <x:col min="2" max="2" width="13" hidden="0" customWidth="1"/>
    <x:col min="3" max="3" width="12" hidden="0" customWidth="1"/>
    <x:col min="4" max="4" width="31" hidden="0" customWidth="1"/>
    <x:col min="5" max="5" width="19" hidden="0" customWidth="1"/>
    <x:col min="6" max="7" width="33.85714340209961" customWidth="1"/>
    <x:col min="8" max="8" width="20" hidden="0" customWidth="1"/>
    <x:col min="6" max="6" width="19" hidden="0" customWidth="1"/>
    <x:col min="7" max="7" width="14" hidden="0" customWidth="1"/>
    <x:col min="9" max="9" width="18" hidden="0" customWidth="1"/>
    <x:col min="10" max="10" width="77" hidden="0" customWidth="1"/>
    <x:col min="11" max="11" width="20" hidden="0" customWidth="1"/>
  </x:cols>
  <x:sheetData>
    <x:row r="1" ht="48" customHeight="1">
      <x:c r="A1" s="7" t="str">
        <x:v>T5SplitQkvAppendCache 内存验证：10 个输入、20 条入口检查全部通过
全局工作区为 0；峰值增量≤输出字节数+16 KiB；重复 20 次后回收。
验证硬件：910C。UB 大输入 192 KiB/核、其他 128 KiB/核。
系统、驱动与指定镜像存在差异，已在实际环境复验；指定镜像未验证。</x:v>
      </x:c>
      <x:c r="B1" s="7"/>
      <x:c r="C1" s="7"/>
      <x:c r="D1" s="7"/>
      <x:c r="E1" s="7"/>
      <x:c r="F1" s="7"/>
      <x:c r="G1" s="3"/>
    </x:row>
    <x:row r="2" ht="48" customHeight="1">
      <x:c r="A2" s="7"/>
      <x:c r="B2" s="7"/>
      <x:c r="C2" s="7"/>
      <x:c r="D2" s="7"/>
      <x:c r="E2" s="7"/>
      <x:c r="F2" s="7"/>
      <x:c r="G2" s="3"/>
    </x:row>
    <x:row r="3" ht="30" customHeight="1">
      <x:c r="A3" s="17" t="str">
        <x:v>输入 shape</x:v>
      </x:c>
      <x:c r="B3" s="18" t="str">
        <x:v>dtype</x:v>
      </x:c>
      <x:c r="C3" s="18" t="str">
        <x:v>结果</x:v>
      </x:c>
      <x:c r="D3" s="19" t="str">
        <x:v>日志</x:v>
      </x:c>
      <x:c r="E3" s="20" t="str">
        <x:v>输出字节数</x:v>
      </x:c>
      <x:c r="F3" s="20" t="str">
        <x:v>峰值增量 B</x:v>
      </x:c>
      <x:c r="G3" s="20" t="str">
        <x:v>峰值/上限</x:v>
      </x:c>
      <x:c r="H3" s="20" t="str">
        <x:v>释放后增量 B</x:v>
      </x:c>
      <x:c r="I3" s="20" t="str">
        <x:v>入口</x:v>
      </x:c>
      <x:c r="J3" s="20" t="str">
        <x:v>用例 ID</x:v>
      </x:c>
      <x:c r="K3" s="20" t="str">
        <x:v>允许上限 B</x:v>
      </x:c>
    </x:row>
    <x:row r="4" ht="38" customHeight="1">
      <x:c r="A4" s="21" t="str">
        <x:v>[[4,1,1536],[4,8,0,64],[4,8,0,64]]</x:v>
      </x:c>
      <x:c r="B4" s="10" t="str">
        <x:v>float16</x:v>
      </x:c>
      <x:c r="C4" s="10" t="str">
        <x:f>IF(AND(F4&lt;=K4,H4=0),"通过","未通过")</x:f>
        <x:v>通过</x:v>
      </x:c>
      <x:c r="D4" s="12" t="str">
        <x:v>4.2 内存自验证日志.log</x:v>
      </x:c>
      <x:c r="E4" s="22" t="n">
        <x:v>12288</x:v>
      </x:c>
      <x:c r="F4" s="22" t="n">
        <x:v>13824</x:v>
      </x:c>
      <x:c r="G4" s="23" t="n">
        <x:f>F4/K4</x:f>
        <x:v>0.48214285714285715</x:v>
      </x:c>
      <x:c r="H4" s="12" t="n">
        <x:v>0</x:v>
      </x:c>
      <x:c r="I4" s="12" t="str">
        <x:v>run</x:v>
      </x:c>
      <x:c r="J4" s="12" t="str">
        <x:v>T5SplitQkvAppendCache_001_float16_random__memory</x:v>
      </x:c>
      <x:c r="K4" s="12" t="n">
        <x:f>E4+16384</x:f>
        <x:v>28672</x:v>
      </x:c>
    </x:row>
    <x:row r="5" ht="38" customHeight="1">
      <x:c r="A5" s="21" t="str">
        <x:v>[[4,1,1536],[4,8,0,64],[4,8,0,64]]</x:v>
      </x:c>
      <x:c r="B5" s="10" t="str">
        <x:v>float16</x:v>
      </x:c>
      <x:c r="C5" s="10" t="str">
        <x:f>IF(AND(F5&lt;=K5,H5=0),"通过","未通过")</x:f>
        <x:v>通过</x:v>
      </x:c>
      <x:c r="D5" s="12" t="str">
        <x:v>4.2 内存自验证日志.log</x:v>
      </x:c>
      <x:c r="E5" s="22" t="n">
        <x:v>12288</x:v>
      </x:c>
      <x:c r="F5" s="22" t="n">
        <x:v>13824</x:v>
      </x:c>
      <x:c r="G5" s="23" t="n">
        <x:f>F5/K5</x:f>
        <x:v>0.48214285714285715</x:v>
      </x:c>
      <x:c r="H5" s="12" t="n">
        <x:v>0</x:v>
      </x:c>
      <x:c r="I5" s="12" t="str">
        <x:v>run_direct</x:v>
      </x:c>
      <x:c r="J5" s="12" t="str">
        <x:v>T5SplitQkvAppendCache_001_float16_random__memory</x:v>
      </x:c>
      <x:c r="K5" s="12" t="n">
        <x:f>E5+16384</x:f>
        <x:v>28672</x:v>
      </x:c>
    </x:row>
    <x:row r="6" ht="38" customHeight="1">
      <x:c r="A6" s="21" t="str">
        <x:v>[[1,1,1536],[1,8,128,64],[1,8,128,64]]</x:v>
      </x:c>
      <x:c r="B6" s="10" t="str">
        <x:v>float16</x:v>
      </x:c>
      <x:c r="C6" s="10" t="str">
        <x:f>IF(AND(F6&lt;=K6,H6=0),"通过","未通过")</x:f>
        <x:v>通过</x:v>
      </x:c>
      <x:c r="D6" s="12" t="str">
        <x:v>4.2 内存自验证日志.log</x:v>
      </x:c>
      <x:c r="E6" s="22" t="n">
        <x:v>265216</x:v>
      </x:c>
      <x:c r="F6" s="22" t="n">
        <x:v>266752</x:v>
      </x:c>
      <x:c r="G6" s="23" t="n">
        <x:f>F6/K6</x:f>
        <x:v>0.9472727272727273</x:v>
      </x:c>
      <x:c r="H6" s="12" t="n">
        <x:v>0</x:v>
      </x:c>
      <x:c r="I6" s="12" t="str">
        <x:v>run</x:v>
      </x:c>
      <x:c r="J6" s="12" t="str">
        <x:v>T5SplitQkvAppendCache_005_float16_random__memory</x:v>
      </x:c>
      <x:c r="K6" s="12" t="n">
        <x:f>E6+16384</x:f>
        <x:v>281600</x:v>
      </x:c>
    </x:row>
    <x:row r="7" ht="38" customHeight="1">
      <x:c r="A7" s="21" t="str">
        <x:v>[[1,1,1536],[1,8,128,64],[1,8,128,64]]</x:v>
      </x:c>
      <x:c r="B7" s="10" t="str">
        <x:v>float16</x:v>
      </x:c>
      <x:c r="C7" s="10" t="str">
        <x:f>IF(AND(F7&lt;=K7,H7=0),"通过","未通过")</x:f>
        <x:v>通过</x:v>
      </x:c>
      <x:c r="D7" s="12" t="str">
        <x:v>4.2 内存自验证日志.log</x:v>
      </x:c>
      <x:c r="E7" s="22" t="n">
        <x:v>265216</x:v>
      </x:c>
      <x:c r="F7" s="22" t="n">
        <x:v>266752</x:v>
      </x:c>
      <x:c r="G7" s="23" t="n">
        <x:f>F7/K7</x:f>
        <x:v>0.9472727272727273</x:v>
      </x:c>
      <x:c r="H7" s="12" t="n">
        <x:v>0</x:v>
      </x:c>
      <x:c r="I7" s="12" t="str">
        <x:v>run_direct</x:v>
      </x:c>
      <x:c r="J7" s="12" t="str">
        <x:v>T5SplitQkvAppendCache_005_float16_random__memory</x:v>
      </x:c>
      <x:c r="K7" s="12" t="n">
        <x:f>E7+16384</x:f>
        <x:v>281600</x:v>
      </x:c>
    </x:row>
    <x:row r="8" ht="38" customHeight="1">
      <x:c r="A8" s="21" t="str">
        <x:v>[[8,1,2304],[8,12,512,64],[8,12,512,64]]</x:v>
      </x:c>
      <x:c r="B8" s="10" t="str">
        <x:v>float16</x:v>
      </x:c>
      <x:c r="C8" s="10" t="str">
        <x:f>IF(AND(F8&lt;=K8,H8=0),"通过","未通过")</x:f>
        <x:v>通过</x:v>
      </x:c>
      <x:c r="D8" s="12" t="str">
        <x:v>4.2 内存自验证日志.log</x:v>
      </x:c>
      <x:c r="E8" s="22" t="n">
        <x:v>12619776</x:v>
      </x:c>
      <x:c r="F8" s="22" t="n">
        <x:v>12621312</x:v>
      </x:c>
      <x:c r="G8" s="23" t="n">
        <x:f>F8/K8</x:f>
        <x:v>0.9988249594813614</x:v>
      </x:c>
      <x:c r="H8" s="12" t="n">
        <x:v>0</x:v>
      </x:c>
      <x:c r="I8" s="12" t="str">
        <x:v>run</x:v>
      </x:c>
      <x:c r="J8" s="12" t="str">
        <x:v>T5SplitQkvAppendCache_006_float16_random__memory</x:v>
      </x:c>
      <x:c r="K8" s="12" t="n">
        <x:f>E8+16384</x:f>
        <x:v>12636160</x:v>
      </x:c>
    </x:row>
    <x:row r="9" ht="38" customHeight="1">
      <x:c r="A9" s="21" t="str">
        <x:v>[[8,1,2304],[8,12,512,64],[8,12,512,64]]</x:v>
      </x:c>
      <x:c r="B9" s="10" t="str">
        <x:v>float16</x:v>
      </x:c>
      <x:c r="C9" s="10" t="str">
        <x:f>IF(AND(F9&lt;=K9,H9=0),"通过","未通过")</x:f>
        <x:v>通过</x:v>
      </x:c>
      <x:c r="D9" s="12" t="str">
        <x:v>4.2 内存自验证日志.log</x:v>
      </x:c>
      <x:c r="E9" s="22" t="n">
        <x:v>12619776</x:v>
      </x:c>
      <x:c r="F9" s="22" t="n">
        <x:v>12621312</x:v>
      </x:c>
      <x:c r="G9" s="23" t="n">
        <x:f>F9/K9</x:f>
        <x:v>0.9988249594813614</x:v>
      </x:c>
      <x:c r="H9" s="12" t="n">
        <x:v>0</x:v>
      </x:c>
      <x:c r="I9" s="12" t="str">
        <x:v>run_direct</x:v>
      </x:c>
      <x:c r="J9" s="12" t="str">
        <x:v>T5SplitQkvAppendCache_006_float16_random__memory</x:v>
      </x:c>
      <x:c r="K9" s="12" t="n">
        <x:f>E9+16384</x:f>
        <x:v>12636160</x:v>
      </x:c>
    </x:row>
    <x:row r="10" ht="38" customHeight="1">
      <x:c r="A10" s="21" t="str">
        <x:v>[[16,1,3072],[16,16,2048,64],[16,16,2048,64]]</x:v>
      </x:c>
      <x:c r="B10" s="10" t="str">
        <x:v>float16</x:v>
      </x:c>
      <x:c r="C10" s="10" t="str">
        <x:f>IF(AND(F10&lt;=K10,H10=0),"通过","未通过")</x:f>
        <x:v>通过</x:v>
      </x:c>
      <x:c r="D10" s="12" t="str">
        <x:v>4.2 内存自验证日志.log</x:v>
      </x:c>
      <x:c r="E10" s="22" t="n">
        <x:v>134316032</x:v>
      </x:c>
      <x:c r="F10" s="22" t="n">
        <x:v>134317568</x:v>
      </x:c>
      <x:c r="G10" s="23" t="n">
        <x:f>F10/K10</x:f>
        <x:v>0.9998894682278326</x:v>
      </x:c>
      <x:c r="H10" s="12" t="n">
        <x:v>0</x:v>
      </x:c>
      <x:c r="I10" s="12" t="str">
        <x:v>run</x:v>
      </x:c>
      <x:c r="J10" s="12" t="str">
        <x:v>T5SplitQkvAppendCache_007_float16_random__memory</x:v>
      </x:c>
      <x:c r="K10" s="12" t="n">
        <x:f>E10+16384</x:f>
        <x:v>134332416</x:v>
      </x:c>
    </x:row>
    <x:row r="11" ht="38" customHeight="1">
      <x:c r="A11" s="21" t="str">
        <x:v>[[16,1,3072],[16,16,2048,64],[16,16,2048,64]]</x:v>
      </x:c>
      <x:c r="B11" s="10" t="str">
        <x:v>float16</x:v>
      </x:c>
      <x:c r="C11" s="10" t="str">
        <x:f>IF(AND(F11&lt;=K11,H11=0),"通过","未通过")</x:f>
        <x:v>通过</x:v>
      </x:c>
      <x:c r="D11" s="12" t="str">
        <x:v>4.2 内存自验证日志.log</x:v>
      </x:c>
      <x:c r="E11" s="22" t="n">
        <x:v>134316032</x:v>
      </x:c>
      <x:c r="F11" s="22" t="n">
        <x:v>134317568</x:v>
      </x:c>
      <x:c r="G11" s="23" t="n">
        <x:f>F11/K11</x:f>
        <x:v>0.9998894682278326</x:v>
      </x:c>
      <x:c r="H11" s="12" t="n">
        <x:v>0</x:v>
      </x:c>
      <x:c r="I11" s="12" t="str">
        <x:v>run_direct</x:v>
      </x:c>
      <x:c r="J11" s="12" t="str">
        <x:v>T5SplitQkvAppendCache_007_float16_random__memory</x:v>
      </x:c>
      <x:c r="K11" s="12" t="n">
        <x:f>E11+16384</x:f>
        <x:v>134332416</x:v>
      </x:c>
    </x:row>
    <x:row r="12" ht="38" customHeight="1">
      <x:c r="A12" s="21" t="str">
        <x:v>[[1,1,384],[1,1,8192,128],[1,1,8192,128]]</x:v>
      </x:c>
      <x:c r="B12" s="10" t="str">
        <x:v>float16</x:v>
      </x:c>
      <x:c r="C12" s="10" t="str">
        <x:f>IF(AND(F12&lt;=K12,H12=0),"通过","未通过")</x:f>
        <x:v>通过</x:v>
      </x:c>
      <x:c r="D12" s="12" t="str">
        <x:v>4.2 内存自验证日志.log</x:v>
      </x:c>
      <x:c r="E12" s="22" t="n">
        <x:v>4195072</x:v>
      </x:c>
      <x:c r="F12" s="22" t="n">
        <x:v>4195840</x:v>
      </x:c>
      <x:c r="G12" s="23" t="n">
        <x:f>F12/K12</x:f>
        <x:v>0.9962920187222661</x:v>
      </x:c>
      <x:c r="H12" s="11" t="n">
        <x:v>0</x:v>
      </x:c>
      <x:c r="I12" s="12" t="str">
        <x:v>run</x:v>
      </x:c>
      <x:c r="J12" s="12" t="str">
        <x:v>T5SplitQkvAppendCache_008_float16_random__memory</x:v>
      </x:c>
      <x:c r="K12" s="12" t="n">
        <x:f>E12+16384</x:f>
        <x:v>4211456</x:v>
      </x:c>
    </x:row>
    <x:row r="13" ht="38" customHeight="1">
      <x:c r="A13" s="21" t="str">
        <x:v>[[1,1,384],[1,1,8192,128],[1,1,8192,128]]</x:v>
      </x:c>
      <x:c r="B13" s="10" t="str">
        <x:v>float16</x:v>
      </x:c>
      <x:c r="C13" s="10" t="str">
        <x:f>IF(AND(F13&lt;=K13,H13=0),"通过","未通过")</x:f>
        <x:v>通过</x:v>
      </x:c>
      <x:c r="D13" s="12" t="str">
        <x:v>4.2 内存自验证日志.log</x:v>
      </x:c>
      <x:c r="E13" s="22" t="n">
        <x:v>4195072</x:v>
      </x:c>
      <x:c r="F13" s="22" t="n">
        <x:v>4195840</x:v>
      </x:c>
      <x:c r="G13" s="23" t="n">
        <x:f>F13/K13</x:f>
        <x:v>0.9962920187222661</x:v>
      </x:c>
      <x:c r="H13" s="12" t="n">
        <x:v>0</x:v>
      </x:c>
      <x:c r="I13" s="12" t="str">
        <x:v>run_direct</x:v>
      </x:c>
      <x:c r="J13" s="12" t="str">
        <x:v>T5SplitQkvAppendCache_008_float16_random__memory</x:v>
      </x:c>
      <x:c r="K13" s="12" t="n">
        <x:f>E13+16384</x:f>
        <x:v>4211456</x:v>
      </x:c>
    </x:row>
    <x:row r="14" ht="38" customHeight="1">
      <x:c r="A14" s="21" t="str">
        <x:v>[[4,1,1536],[4,8,0,64],[4,8,0,64]]</x:v>
      </x:c>
      <x:c r="B14" s="10" t="str">
        <x:v>bfloat16</x:v>
      </x:c>
      <x:c r="C14" s="10" t="str">
        <x:f>IF(AND(F14&lt;=K14,H14=0),"通过","未通过")</x:f>
        <x:v>通过</x:v>
      </x:c>
      <x:c r="D14" s="12" t="str">
        <x:v>4.2 内存自验证日志.log</x:v>
      </x:c>
      <x:c r="E14" s="22" t="n">
        <x:v>12288</x:v>
      </x:c>
      <x:c r="F14" s="22" t="n">
        <x:v>13824</x:v>
      </x:c>
      <x:c r="G14" s="23" t="n">
        <x:f>F14/K14</x:f>
        <x:v>0.48214285714285715</x:v>
      </x:c>
      <x:c r="H14" s="12" t="n">
        <x:v>0</x:v>
      </x:c>
      <x:c r="I14" s="12" t="str">
        <x:v>run</x:v>
      </x:c>
      <x:c r="J14" s="12" t="str">
        <x:v>T5SplitQkvAppendCache_011_bfloat16_random__memory</x:v>
      </x:c>
      <x:c r="K14" s="12" t="n">
        <x:f>E14+16384</x:f>
        <x:v>28672</x:v>
      </x:c>
    </x:row>
    <x:row r="15" ht="38" customHeight="1">
      <x:c r="A15" s="21" t="str">
        <x:v>[[4,1,1536],[4,8,0,64],[4,8,0,64]]</x:v>
      </x:c>
      <x:c r="B15" s="10" t="str">
        <x:v>bfloat16</x:v>
      </x:c>
      <x:c r="C15" s="10" t="str">
        <x:f>IF(AND(F15&lt;=K15,H15=0),"通过","未通过")</x:f>
        <x:v>通过</x:v>
      </x:c>
      <x:c r="D15" s="12" t="str">
        <x:v>4.2 内存自验证日志.log</x:v>
      </x:c>
      <x:c r="E15" s="22" t="n">
        <x:v>12288</x:v>
      </x:c>
      <x:c r="F15" s="22" t="n">
        <x:v>13824</x:v>
      </x:c>
      <x:c r="G15" s="23" t="n">
        <x:f>F15/K15</x:f>
        <x:v>0.48214285714285715</x:v>
      </x:c>
      <x:c r="H15" s="12" t="n">
        <x:v>0</x:v>
      </x:c>
      <x:c r="I15" s="12" t="str">
        <x:v>run_direct</x:v>
      </x:c>
      <x:c r="J15" s="12" t="str">
        <x:v>T5SplitQkvAppendCache_011_bfloat16_random__memory</x:v>
      </x:c>
      <x:c r="K15" s="12" t="n">
        <x:f>E15+16384</x:f>
        <x:v>28672</x:v>
      </x:c>
    </x:row>
    <x:row r="16" ht="38" customHeight="1">
      <x:c r="A16" s="21" t="str">
        <x:v>[[1,1,1536],[1,8,128,64],[1,8,128,64]]</x:v>
      </x:c>
      <x:c r="B16" s="10" t="str">
        <x:v>bfloat16</x:v>
      </x:c>
      <x:c r="C16" s="10" t="str">
        <x:f>IF(AND(F16&lt;=K16,H16=0),"通过","未通过")</x:f>
        <x:v>通过</x:v>
      </x:c>
      <x:c r="D16" s="12" t="str">
        <x:v>4.2 内存自验证日志.log</x:v>
      </x:c>
      <x:c r="E16" s="22" t="n">
        <x:v>265216</x:v>
      </x:c>
      <x:c r="F16" s="22" t="n">
        <x:v>266752</x:v>
      </x:c>
      <x:c r="G16" s="23" t="n">
        <x:f>F16/K16</x:f>
        <x:v>0.9472727272727273</x:v>
      </x:c>
      <x:c r="H16" s="12" t="n">
        <x:v>0</x:v>
      </x:c>
      <x:c r="I16" s="12" t="str">
        <x:v>run</x:v>
      </x:c>
      <x:c r="J16" s="12" t="str">
        <x:v>T5SplitQkvAppendCache_015_bfloat16_random__memory</x:v>
      </x:c>
      <x:c r="K16" s="12" t="n">
        <x:f>E16+16384</x:f>
        <x:v>281600</x:v>
      </x:c>
    </x:row>
    <x:row r="17" ht="38" customHeight="1">
      <x:c r="A17" s="21" t="str">
        <x:v>[[1,1,1536],[1,8,128,64],[1,8,128,64]]</x:v>
      </x:c>
      <x:c r="B17" s="10" t="str">
        <x:v>bfloat16</x:v>
      </x:c>
      <x:c r="C17" s="10" t="str">
        <x:f>IF(AND(F17&lt;=K17,H17=0),"通过","未通过")</x:f>
        <x:v>通过</x:v>
      </x:c>
      <x:c r="D17" s="12" t="str">
        <x:v>4.2 内存自验证日志.log</x:v>
      </x:c>
      <x:c r="E17" s="22" t="n">
        <x:v>265216</x:v>
      </x:c>
      <x:c r="F17" s="22" t="n">
        <x:v>266752</x:v>
      </x:c>
      <x:c r="G17" s="23" t="n">
        <x:f>F17/K17</x:f>
        <x:v>0.9472727272727273</x:v>
      </x:c>
      <x:c r="H17" s="12" t="n">
        <x:v>0</x:v>
      </x:c>
      <x:c r="I17" s="12" t="str">
        <x:v>run_direct</x:v>
      </x:c>
      <x:c r="J17" s="12" t="str">
        <x:v>T5SplitQkvAppendCache_015_bfloat16_random__memory</x:v>
      </x:c>
      <x:c r="K17" s="12" t="n">
        <x:f>E17+16384</x:f>
        <x:v>281600</x:v>
      </x:c>
    </x:row>
    <x:row r="18" ht="38" customHeight="1">
      <x:c r="A18" s="21" t="str">
        <x:v>[[8,1,2304],[8,12,512,64],[8,12,512,64]]</x:v>
      </x:c>
      <x:c r="B18" s="10" t="str">
        <x:v>bfloat16</x:v>
      </x:c>
      <x:c r="C18" s="10" t="str">
        <x:f>IF(AND(F18&lt;=K18,H18=0),"通过","未通过")</x:f>
        <x:v>通过</x:v>
      </x:c>
      <x:c r="D18" s="12" t="str">
        <x:v>4.2 内存自验证日志.log</x:v>
      </x:c>
      <x:c r="E18" s="22" t="n">
        <x:v>12619776</x:v>
      </x:c>
      <x:c r="F18" s="22" t="n">
        <x:v>12621312</x:v>
      </x:c>
      <x:c r="G18" s="23" t="n">
        <x:f>F18/K18</x:f>
        <x:v>0.9988249594813614</x:v>
      </x:c>
      <x:c r="H18" s="12" t="n">
        <x:v>0</x:v>
      </x:c>
      <x:c r="I18" s="12" t="str">
        <x:v>run</x:v>
      </x:c>
      <x:c r="J18" s="12" t="str">
        <x:v>T5SplitQkvAppendCache_016_bfloat16_random__memory</x:v>
      </x:c>
      <x:c r="K18" s="12" t="n">
        <x:f>E18+16384</x:f>
        <x:v>12636160</x:v>
      </x:c>
    </x:row>
    <x:row r="19" ht="38" customHeight="1">
      <x:c r="A19" s="21" t="str">
        <x:v>[[8,1,2304],[8,12,512,64],[8,12,512,64]]</x:v>
      </x:c>
      <x:c r="B19" s="10" t="str">
        <x:v>bfloat16</x:v>
      </x:c>
      <x:c r="C19" s="10" t="str">
        <x:f>IF(AND(F19&lt;=K19,H19=0),"通过","未通过")</x:f>
        <x:v>通过</x:v>
      </x:c>
      <x:c r="D19" s="12" t="str">
        <x:v>4.2 内存自验证日志.log</x:v>
      </x:c>
      <x:c r="E19" s="22" t="n">
        <x:v>12619776</x:v>
      </x:c>
      <x:c r="F19" s="22" t="n">
        <x:v>12621312</x:v>
      </x:c>
      <x:c r="G19" s="23" t="n">
        <x:f>F19/K19</x:f>
        <x:v>0.9988249594813614</x:v>
      </x:c>
      <x:c r="H19" s="12" t="n">
        <x:v>0</x:v>
      </x:c>
      <x:c r="I19" s="12" t="str">
        <x:v>run_direct</x:v>
      </x:c>
      <x:c r="J19" s="12" t="str">
        <x:v>T5SplitQkvAppendCache_016_bfloat16_random__memory</x:v>
      </x:c>
      <x:c r="K19" s="12" t="n">
        <x:f>E19+16384</x:f>
        <x:v>12636160</x:v>
      </x:c>
    </x:row>
    <x:row r="20" ht="38" customHeight="1">
      <x:c r="A20" s="21" t="str">
        <x:v>[[16,1,3072],[16,16,2048,64],[16,16,2048,64]]</x:v>
      </x:c>
      <x:c r="B20" s="10" t="str">
        <x:v>bfloat16</x:v>
      </x:c>
      <x:c r="C20" s="10" t="str">
        <x:f>IF(AND(F20&lt;=K20,H20=0),"通过","未通过")</x:f>
        <x:v>通过</x:v>
      </x:c>
      <x:c r="D20" s="12" t="str">
        <x:v>4.2 内存自验证日志.log</x:v>
      </x:c>
      <x:c r="E20" s="22" t="n">
        <x:v>134316032</x:v>
      </x:c>
      <x:c r="F20" s="22" t="n">
        <x:v>134317568</x:v>
      </x:c>
      <x:c r="G20" s="23" t="n">
        <x:f>F20/K20</x:f>
        <x:v>0.9998894682278326</x:v>
      </x:c>
      <x:c r="H20" s="12" t="n">
        <x:v>0</x:v>
      </x:c>
      <x:c r="I20" s="12" t="str">
        <x:v>run</x:v>
      </x:c>
      <x:c r="J20" s="12" t="str">
        <x:v>T5SplitQkvAppendCache_017_bfloat16_random__memory</x:v>
      </x:c>
      <x:c r="K20" s="12" t="n">
        <x:f>E20+16384</x:f>
        <x:v>134332416</x:v>
      </x:c>
    </x:row>
    <x:row r="21" ht="38" customHeight="1">
      <x:c r="A21" s="21" t="str">
        <x:v>[[16,1,3072],[16,16,2048,64],[16,16,2048,64]]</x:v>
      </x:c>
      <x:c r="B21" s="10" t="str">
        <x:v>bfloat16</x:v>
      </x:c>
      <x:c r="C21" s="10" t="str">
        <x:f>IF(AND(F21&lt;=K21,H21=0),"通过","未通过")</x:f>
        <x:v>通过</x:v>
      </x:c>
      <x:c r="D21" s="12" t="str">
        <x:v>4.2 内存自验证日志.log</x:v>
      </x:c>
      <x:c r="E21" s="22" t="n">
        <x:v>134316032</x:v>
      </x:c>
      <x:c r="F21" s="22" t="n">
        <x:v>134317568</x:v>
      </x:c>
      <x:c r="G21" s="23" t="n">
        <x:f>F21/K21</x:f>
        <x:v>0.9998894682278326</x:v>
      </x:c>
      <x:c r="H21" s="12" t="n">
        <x:v>0</x:v>
      </x:c>
      <x:c r="I21" s="12" t="str">
        <x:v>run_direct</x:v>
      </x:c>
      <x:c r="J21" s="12" t="str">
        <x:v>T5SplitQkvAppendCache_017_bfloat16_random__memory</x:v>
      </x:c>
      <x:c r="K21" s="12" t="n">
        <x:f>E21+16384</x:f>
        <x:v>134332416</x:v>
      </x:c>
    </x:row>
    <x:row r="22" ht="38" customHeight="1">
      <x:c r="A22" s="21" t="str">
        <x:v>[[1,1,384],[1,1,8192,128],[1,1,8192,128]]</x:v>
      </x:c>
      <x:c r="B22" s="10" t="str">
        <x:v>bfloat16</x:v>
      </x:c>
      <x:c r="C22" s="10" t="str">
        <x:f>IF(AND(F22&lt;=K22,H22=0),"通过","未通过")</x:f>
        <x:v>通过</x:v>
      </x:c>
      <x:c r="D22" s="12" t="str">
        <x:v>4.2 内存自验证日志.log</x:v>
      </x:c>
      <x:c r="E22" s="22" t="n">
        <x:v>4195072</x:v>
      </x:c>
      <x:c r="F22" s="22" t="n">
        <x:v>4195840</x:v>
      </x:c>
      <x:c r="G22" s="23" t="n">
        <x:f>F22/K22</x:f>
        <x:v>0.9962920187222661</x:v>
      </x:c>
      <x:c r="H22" s="12" t="n">
        <x:v>0</x:v>
      </x:c>
      <x:c r="I22" s="12" t="str">
        <x:v>run</x:v>
      </x:c>
      <x:c r="J22" s="12" t="str">
        <x:v>T5SplitQkvAppendCache_018_bfloat16_random__memory</x:v>
      </x:c>
      <x:c r="K22" s="12" t="n">
        <x:f>E22+16384</x:f>
        <x:v>4211456</x:v>
      </x:c>
    </x:row>
    <x:row r="23" ht="38" customHeight="1">
      <x:c r="A23" s="21" t="str">
        <x:v>[[1,1,384],[1,1,8192,128],[1,1,8192,128]]</x:v>
      </x:c>
      <x:c r="B23" s="10" t="str">
        <x:v>bfloat16</x:v>
      </x:c>
      <x:c r="C23" s="10" t="str">
        <x:f>IF(AND(F23&lt;=K23,H23=0),"通过","未通过")</x:f>
        <x:v>通过</x:v>
      </x:c>
      <x:c r="D23" s="12" t="str">
        <x:v>4.2 内存自验证日志.log</x:v>
      </x:c>
      <x:c r="E23" s="22" t="n">
        <x:v>4195072</x:v>
      </x:c>
      <x:c r="F23" s="22" t="n">
        <x:v>4195840</x:v>
      </x:c>
      <x:c r="G23" s="23" t="n">
        <x:f>F23/K23</x:f>
        <x:v>0.9962920187222661</x:v>
      </x:c>
      <x:c r="H23" s="12" t="n">
        <x:v>0</x:v>
      </x:c>
      <x:c r="I23" s="12" t="str">
        <x:v>run_direct</x:v>
      </x:c>
      <x:c r="J23" s="12" t="str">
        <x:v>T5SplitQkvAppendCache_018_bfloat16_random__memory</x:v>
      </x:c>
      <x:c r="K23" s="12" t="n">
        <x:f>E23+16384</x:f>
        <x:v>4211456</x:v>
      </x:c>
    </x:row>
    <x:row r="24" ht="13.5">
      <x:c r="A24" s="4"/>
      <x:c r="B24" s="5"/>
      <x:c r="C24" s="5"/>
    </x:row>
    <x:row r="25" ht="13.5">
      <x:c r="A25" s="4"/>
      <x:c r="B25" s="5"/>
      <x:c r="C25" s="5"/>
    </x:row>
    <x:row r="26" ht="13.5">
      <x:c r="A26" s="4"/>
      <x:c r="B26" s="5"/>
      <x:c r="C26" s="5"/>
    </x:row>
    <x:row r="27" ht="13.5">
      <x:c r="A27" s="4"/>
      <x:c r="B27" s="5"/>
      <x:c r="C27" s="5"/>
    </x:row>
    <x:row r="28" ht="13.5">
      <x:c r="A28" s="4"/>
      <x:c r="B28" s="5"/>
      <x:c r="C28" s="5"/>
    </x:row>
    <x:row r="29" ht="13.5">
      <x:c r="A29" s="4"/>
      <x:c r="B29" s="5"/>
      <x:c r="C29" s="5"/>
    </x:row>
    <x:row r="30" ht="13.5">
      <x:c r="A30" s="4"/>
      <x:c r="B30" s="5"/>
      <x:c r="C30" s="5"/>
    </x:row>
    <x:row r="31" ht="13.5">
      <x:c r="A31" s="4"/>
      <x:c r="B31" s="5"/>
      <x:c r="C31" s="5"/>
    </x:row>
    <x:row r="32" ht="13.5">
      <x:c r="A32" s="4"/>
      <x:c r="B32" s="5"/>
      <x:c r="C32" s="5"/>
    </x:row>
    <x:row r="33" ht="13.5">
      <x:c r="A33" s="4"/>
      <x:c r="B33" s="5"/>
      <x:c r="C33" s="5"/>
    </x:row>
    <x:row r="34" ht="13.5">
      <x:c r="A34" s="4"/>
      <x:c r="B34" s="5"/>
      <x:c r="C34" s="5"/>
    </x:row>
    <x:row r="35" ht="13.5">
      <x:c r="A35" s="4"/>
      <x:c r="B35" s="5"/>
      <x:c r="C35" s="5"/>
    </x:row>
    <x:row r="36" ht="13.5">
      <x:c r="A36" s="4"/>
      <x:c r="B36" s="5"/>
      <x:c r="C36" s="5"/>
    </x:row>
    <x:row r="37" ht="13.5">
      <x:c r="A37" s="4"/>
      <x:c r="B37" s="5"/>
      <x:c r="C37" s="5"/>
    </x:row>
    <x:row r="38" ht="13.5">
      <x:c r="A38" s="4"/>
      <x:c r="B38" s="5"/>
      <x:c r="C38" s="5"/>
    </x:row>
    <x:row r="39" ht="13.5">
      <x:c r="A39" s="4"/>
      <x:c r="B39" s="5"/>
      <x:c r="C39" s="5"/>
    </x:row>
    <x:row r="40" ht="13.5">
      <x:c r="A40" s="4"/>
      <x:c r="B40" s="5"/>
      <x:c r="C40" s="5"/>
    </x:row>
    <x:row r="41" ht="13.5">
      <x:c r="A41" s="4"/>
      <x:c r="B41" s="5"/>
      <x:c r="C41" s="5"/>
    </x:row>
    <x:row r="42" ht="13.5">
      <x:c r="A42" s="4"/>
      <x:c r="B42" s="5"/>
      <x:c r="C42" s="5"/>
    </x:row>
  </x:sheetData>
  <x:mergeCells>
    <x:mergeCell ref="A1:F2"/>
  </x:mergeCells>
  <x:conditionalFormatting sqref="C4:C23">
    <x:cfRule type="containsText" dxfId="0" priority="1" operator="containsText" text="未通过"/>
  </x:conditionalFormatting>
  <x:dataValidations count="1">
    <x:dataValidation type="list" showInputMessage="1" showErrorMessage="1" sqref="C4:C42">
      <x:formula1>"通过,不通过"</x:formula1>
    </x:dataValidation>
  </x:dataValidations>
  <x:pageMargins left="0.7" right="0.7" top="0.75" bottom="0.75" header="0.3" footer="0.3"/>
</x:worksheet>
</file>