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6b10c6c6d4d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性能" sheetId="3" r:id="R5be6de065ce24486"/>
    <x:sheet xmlns:r="http://schemas.openxmlformats.org/officeDocument/2006/relationships" name="逐轮记录" sheetId="4" r:id="Re064c571f6f448e9"/>
    <x:sheet xmlns:r="http://schemas.openxmlformats.org/officeDocument/2006/relationships" name="独立进程复测" sheetId="5" r:id="Rdea3b8e746b347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0"/>
  </x:numFmts>
  <x:fonts count="27">
    <x:font>
      <x:sz val="10"/>
      <x:color theme="1"/>
      <x:name val="宋体"/>
      <x:scheme val="minor"/>
    </x:font>
    <x:font>
      <x:sz val="11"/>
      <x:name val="宋体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theme="1"/>
      <x:name val="Microsoft YaHei"/>
      <x:scheme val="minor"/>
    </x:font>
    <x:font>
      <x:sz val="11"/>
      <x:color theme="1"/>
      <x:name val="Microsoft YaHei"/>
      <x:scheme val="minor"/>
    </x:font>
    <x:font>
      <x:sz val="10"/>
      <x:name val="Microsoft YaHei"/>
    </x:font>
    <x:font>
      <x:b/>
      <x:sz val="10"/>
      <x:name val="Microsoft YaHei"/>
    </x:font>
    <x:font>
      <x:b/>
      <x:sz val="10"/>
      <x:color theme="1"/>
      <x:name val="Microsoft YaHei"/>
      <x:scheme val="minor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E8EEF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 applyNumberFormat="0" applyFont="0" applyFill="0" applyBorder="0" applyAlignment="0">
      <x:alignment vertical="center"/>
    </x:xf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2" borderId="1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3" borderId="4" applyNumberFormat="0" applyAlignment="0" applyProtection="0">
      <x:alignment vertical="center"/>
    </x:xf>
    <x:xf numFmtId="0" fontId="12" fillId="4" borderId="5" applyNumberFormat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6" applyNumberFormat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6" borderId="0" applyNumberFormat="0" applyBorder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</x:cellStyleXfs>
  <x:cellXfs count="23">
    <x:xf numFmtId="0" fontId="0" fillId="0" borderId="0" xfId="0">
      <x:alignment vertical="center"/>
    </x:xf>
    <x:xf numFmtId="49" fontId="0" fillId="0" borderId="0" xfId="0" applyNumberFormat="1">
      <x:alignment vertical="center"/>
    </x:xf>
    <x:xf numFmtId="49" fontId="0" fillId="0" borderId="0" xfId="0" applyNumberFormat="1" applyAlignment="1">
      <x:alignment horizontal="left" vertical="center" wrapText="1"/>
    </x:xf>
    <x:xf numFmtId="49" fontId="0" fillId="0" borderId="0" xfId="0" applyNumberFormat="1" applyAlignment="1">
      <x:alignment horizontal="left" vertical="center"/>
    </x:xf>
    <x:xf numFmtId="49" fontId="1" fillId="0" borderId="0" xfId="0" applyNumberFormat="1" applyFont="1">
      <x:alignment vertical="center"/>
    </x:xf>
    <x:xf numFmtId="0" fontId="1" fillId="0" borderId="0" xfId="0" applyFont="1">
      <x:alignment vertical="center"/>
    </x:xf>
    <x:xf numFmtId="0" fontId="0" fillId="0" borderId="0" xfId="0" applyAlignment="1">
      <x:alignment vertical="center" wrapText="1"/>
    </x:xf>
    <x:xf numFmtId="0" fontId="22" fillId="0" borderId="0" xfId="0" applyNumberFormat="1" applyFont="1" applyFill="1" applyBorder="1" applyAlignment="1">
      <x:alignment vertical="center"/>
    </x:xf>
    <x:xf numFmtId="200" fontId="22" fillId="0" borderId="0" xfId="0" applyNumberFormat="1" applyFont="1" applyFill="1" applyBorder="1" applyAlignment="1">
      <x:alignment vertical="center"/>
    </x:xf>
    <x:xf numFmtId="0" fontId="22" fillId="33" borderId="0" xfId="0" applyNumberFormat="1" applyFont="1" applyFill="1" applyBorder="1" applyAlignment="1">
      <x:alignment vertical="center"/>
    </x:xf>
    <x:xf numFmtId="49" fontId="23" fillId="0" borderId="0" xfId="0" applyNumberFormat="1" applyFont="1" applyFill="1" applyBorder="1" applyAlignment="1">
      <x:alignment horizontal="left" vertical="center" wrapText="1"/>
    </x:xf>
    <x:xf numFmtId="49" fontId="23" fillId="0" borderId="0" xfId="0" applyNumberFormat="1" applyFont="1" applyFill="1" applyBorder="1" applyAlignment="1">
      <x:alignment horizontal="left" vertical="center"/>
    </x:xf>
    <x:xf numFmtId="49" fontId="24" fillId="0" borderId="0" xfId="0" applyNumberFormat="1" applyFont="1" applyFill="1" applyBorder="1" applyAlignment="1">
      <x:alignment vertical="center"/>
    </x:xf>
    <x:xf numFmtId="0" fontId="24" fillId="0" borderId="0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 applyAlignment="1">
      <x:alignment vertical="center" wrapText="1"/>
    </x:xf>
    <x:xf numFmtId="49" fontId="24" fillId="33" borderId="0" xfId="0" applyNumberFormat="1" applyFont="1" applyFill="1" applyBorder="1" applyAlignment="1">
      <x:alignment vertical="center"/>
    </x:xf>
    <x:xf numFmtId="0" fontId="24" fillId="33" borderId="0" xfId="0" applyNumberFormat="1" applyFont="1" applyFill="1" applyBorder="1" applyAlignment="1">
      <x:alignment vertical="center"/>
    </x:xf>
    <x:xf numFmtId="0" fontId="22" fillId="33" borderId="0" xfId="0" applyNumberFormat="1" applyFont="1" applyFill="1" applyBorder="1" applyAlignment="1">
      <x:alignment vertical="center" wrapText="1"/>
    </x:xf>
    <x:xf numFmtId="49" fontId="25" fillId="33" borderId="0" xfId="0" applyNumberFormat="1" applyFont="1" applyFill="1" applyBorder="1" applyAlignment="1">
      <x:alignment vertical="center"/>
    </x:xf>
    <x:xf numFmtId="0" fontId="25" fillId="33" borderId="0" xfId="0" applyNumberFormat="1" applyFont="1" applyFill="1" applyBorder="1" applyAlignment="1">
      <x:alignment vertical="center"/>
    </x:xf>
    <x:xf numFmtId="0" fontId="26" fillId="33" borderId="0" xfId="0" applyNumberFormat="1" applyFont="1" applyFill="1" applyBorder="1" applyAlignment="1">
      <x:alignment vertical="center" wrapText="1"/>
    </x:xf>
    <x:xf numFmtId="0" fontId="26" fillId="33" borderId="0" xfId="0" applyNumberFormat="1" applyFont="1" applyFill="1" applyBorder="1" applyAlignment="1">
      <x:alignment vertical="center"/>
    </x:xf>
    <x:xf numFmtId="49" fontId="24" fillId="0" borderId="0" xfId="0" applyNumberFormat="1" applyFont="1" applyFill="1" applyBorder="1" applyAlignment="1">
      <x:alignment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">
    <x:dxf>
      <x:font>
        <x:color rgb="FFA61B1B"/>
      </x:font>
      <x:fill>
        <x:patternFill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5d443f0d704f20" /><Relationship Type="http://schemas.openxmlformats.org/officeDocument/2006/relationships/theme" Target="/xl/theme/theme1.xml" Id="Rd49b6d6e16b04bcd" /><Relationship Type="http://schemas.openxmlformats.org/officeDocument/2006/relationships/sharedStrings" Target="/xl/sharedStrings.xml" Id="Rf37d7e13296744c0" /><Relationship Type="http://schemas.openxmlformats.org/officeDocument/2006/relationships/worksheet" Target="/xl/worksheets/sheet1.xml" Id="R5be6de065ce24486" /><Relationship Type="http://schemas.openxmlformats.org/officeDocument/2006/relationships/worksheet" Target="/xl/worksheets/sheet2.xml" Id="Re064c571f6f448e9" /><Relationship Type="http://schemas.openxmlformats.org/officeDocument/2006/relationships/worksheet" Target="/xl/worksheets/sheet3.xml" Id="Rdea3b8e746b34720" 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3" topLeftCell="C4" activePane="bottomRight" state="frozen"/>
    </x:sheetView>
  </x:sheetViews>
  <x:sheetFormatPr defaultColWidth="13.714285850524902" defaultRowHeight="18"/>
  <x:cols>
    <x:col min="1" max="1" width="48" style="1" hidden="0" customWidth="1"/>
    <x:col min="2" max="2" width="13" hidden="0" customWidth="1"/>
    <x:col min="3" max="3" width="12" hidden="0" customWidth="1"/>
    <x:col min="4" max="4" width="31" hidden="0" customWidth="1"/>
    <x:col min="5" max="5" width="18" hidden="0" customWidth="1"/>
    <x:col min="6" max="7" width="20.714284896850586" customWidth="1"/>
    <x:col min="8" max="8" width="43" hidden="0" customWidth="1"/>
    <x:col min="6" max="6" width="18" hidden="0" customWidth="1"/>
    <x:col min="7" max="7" width="13" hidden="0" customWidth="1"/>
    <x:col min="9" max="9" width="18" hidden="0" customWidth="1"/>
    <x:col min="10" max="10" width="70" hidden="0" customWidth="1"/>
  </x:cols>
  <x:sheetData>
    <x:row r="1" ht="48" customHeight="1">
      <x:c r="A1" s="10" t="str">
        <x:v>T5SplitQkvAppendCache 性能验证：10/10 达标，连续 4 个独立进程全部通过
原协议：50 次预热、5×200 次，每次新输出；采用原始绝对阈值。
验证硬件：910C。G 列为实现/同机基线耗时比；首次调用诊断单列。
系统、驱动与指定镜像存在差异，已在实际环境复验；指定镜像未验证。</x:v>
      </x:c>
      <x:c r="B1" s="10"/>
      <x:c r="C1" s="10"/>
      <x:c r="D1" s="10"/>
      <x:c r="E1" s="10"/>
      <x:c r="F1" s="10"/>
      <x:c r="G1" s="3"/>
    </x:row>
    <x:row r="2" ht="48" customHeight="1">
      <x:c r="A2" s="10"/>
      <x:c r="B2" s="10"/>
      <x:c r="C2" s="10"/>
      <x:c r="D2" s="10"/>
      <x:c r="E2" s="10"/>
      <x:c r="F2" s="10"/>
      <x:c r="G2" s="3"/>
    </x:row>
    <x:row r="3" ht="30" customHeight="1">
      <x:c r="A3" s="18" t="str">
        <x:v>输入 shape</x:v>
      </x:c>
      <x:c r="B3" s="19" t="str">
        <x:v>dtype</x:v>
      </x:c>
      <x:c r="C3" s="19" t="str">
        <x:v>阈值结果</x:v>
      </x:c>
      <x:c r="D3" s="20" t="str">
        <x:v>日志</x:v>
      </x:c>
      <x:c r="E3" s="21" t="str">
        <x:v>同机基线 μs</x:v>
      </x:c>
      <x:c r="F3" s="21" t="str">
        <x:v>实现 wall μs</x:v>
      </x:c>
      <x:c r="G3" s="21" t="str">
        <x:v>耗时比</x:v>
      </x:c>
      <x:c r="H3" s="21" t="str">
        <x:v>说明</x:v>
      </x:c>
      <x:c r="I3" s="21" t="str">
        <x:v>绝对阈值 μs</x:v>
      </x:c>
      <x:c r="J3" s="21" t="str">
        <x:v>用例 ID</x:v>
      </x:c>
    </x:row>
    <x:row r="4" ht="38" customHeight="1">
      <x:c r="A4" s="22" t="str">
        <x:v>[[4,1,1536],[4,8,0,64],[4,8,0,64]]</x:v>
      </x:c>
      <x:c r="B4" s="13" t="str">
        <x:v>float16</x:v>
      </x:c>
      <x:c r="C4" s="13" t="str">
        <x:f>IF(F4&lt;=I4,"通过","未通过")</x:f>
        <x:v>通过</x:v>
      </x:c>
      <x:c r="D4" s="7" t="str">
        <x:v>3.2 性能自验证日志.log</x:v>
      </x:c>
      <x:c r="E4" s="8" t="n">
        <x:f>MEDIAN('逐轮记录'!E2:E6)</x:f>
        <x:v>76.630375</x:v>
      </x:c>
      <x:c r="F4" s="8" t="n">
        <x:f>MEDIAN('逐轮记录'!C2:C6)</x:f>
        <x:v>23.40362</x:v>
      </x:c>
      <x:c r="G4" s="8" t="n">
        <x:f>F4/E4</x:f>
        <x:v>0.30540918010645257</x:v>
      </x:c>
      <x:c r="H4" s="7" t="str">
        <x:v>50 次预热；5×200 次；每次分配新输出</x:v>
      </x:c>
      <x:c r="I4" s="7" t="n">
        <x:v>28</x:v>
      </x:c>
      <x:c r="J4" s="7" t="str">
        <x:v>T5SplitQkvAppendCache_001_float16_random</x:v>
      </x:c>
    </x:row>
    <x:row r="5" ht="38" customHeight="1">
      <x:c r="A5" s="22" t="str">
        <x:v>[[1,1,1536],[1,8,128,64],[1,8,128,64]]</x:v>
      </x:c>
      <x:c r="B5" s="13" t="str">
        <x:v>float16</x:v>
      </x:c>
      <x:c r="C5" s="13" t="str">
        <x:f>IF(F5&lt;=I5,"通过","未通过")</x:f>
        <x:v>通过</x:v>
      </x:c>
      <x:c r="D5" s="7" t="str">
        <x:v>3.2 性能自验证日志.log</x:v>
      </x:c>
      <x:c r="E5" s="8" t="n">
        <x:f>MEDIAN('逐轮记录'!E7:E11)</x:f>
        <x:v>83.11194</x:v>
      </x:c>
      <x:c r="F5" s="8" t="n">
        <x:f>MEDIAN('逐轮记录'!C7:C11)</x:f>
        <x:v>23.870425</x:v>
      </x:c>
      <x:c r="G5" s="8" t="n">
        <x:f t="shared" ref="G5:G13" si="0">F5/E5</x:f>
        <x:v>0.28720813158735076</x:v>
      </x:c>
      <x:c r="H5" s="7" t="str">
        <x:v>50 次预热；5×200 次；每次分配新输出</x:v>
      </x:c>
      <x:c r="I5" s="7" t="n">
        <x:v>28</x:v>
      </x:c>
      <x:c r="J5" s="7" t="str">
        <x:v>T5SplitQkvAppendCache_005_float16_random</x:v>
      </x:c>
    </x:row>
    <x:row r="6" ht="38" customHeight="1">
      <x:c r="A6" s="22" t="str">
        <x:v>[[8,1,2304],[8,12,512,64],[8,12,512,64]]</x:v>
      </x:c>
      <x:c r="B6" s="13" t="str">
        <x:v>float16</x:v>
      </x:c>
      <x:c r="C6" s="13" t="str">
        <x:f>IF(F6&lt;=I6,"通过","未通过")</x:f>
        <x:v>通过</x:v>
      </x:c>
      <x:c r="D6" s="7" t="str">
        <x:v>3.2 性能自验证日志.log</x:v>
      </x:c>
      <x:c r="E6" s="8" t="n">
        <x:f>MEDIAN('逐轮记录'!E12:E16)</x:f>
        <x:v>76.652075</x:v>
      </x:c>
      <x:c r="F6" s="8" t="n">
        <x:f>MEDIAN('逐轮记录'!C12:C16)</x:f>
        <x:v>24.51153</x:v>
      </x:c>
      <x:c r="G6" s="8" t="n">
        <x:f t="shared" si="0">F6/E6</x:f>
        <x:v>0.3197764704999832</x:v>
      </x:c>
      <x:c r="H6" s="7" t="str">
        <x:v>50 次预热；5×200 次；每次分配新输出</x:v>
      </x:c>
      <x:c r="I6" s="7" t="n">
        <x:v>29</x:v>
      </x:c>
      <x:c r="J6" s="7" t="str">
        <x:v>T5SplitQkvAppendCache_006_float16_random</x:v>
      </x:c>
    </x:row>
    <x:row r="7" ht="38" customHeight="1">
      <x:c r="A7" s="22" t="str">
        <x:v>[[16,1,3072],[16,16,2048,64],[16,16,2048,64]]</x:v>
      </x:c>
      <x:c r="B7" s="13" t="str">
        <x:v>float16</x:v>
      </x:c>
      <x:c r="C7" s="13" t="str">
        <x:f>IF(F7&lt;=I7,"通过","未通过")</x:f>
        <x:v>通过</x:v>
      </x:c>
      <x:c r="D7" s="7" t="str">
        <x:v>3.2 性能自验证日志.log</x:v>
      </x:c>
      <x:c r="E7" s="8" t="n">
        <x:f>MEDIAN('逐轮记录'!E17:E21)</x:f>
        <x:v>203.55057</x:v>
      </x:c>
      <x:c r="F7" s="8" t="n">
        <x:f>MEDIAN('逐轮记录'!C17:C21)</x:f>
        <x:v>57.369589999999995</x:v>
      </x:c>
      <x:c r="G7" s="8" t="n">
        <x:f t="shared" si="0">F7/E7</x:f>
        <x:v>0.28184440849269055</x:v>
      </x:c>
      <x:c r="H7" s="7" t="str">
        <x:v>50 次预热；5×200 次；每次分配新输出</x:v>
      </x:c>
      <x:c r="I7" s="7" t="n">
        <x:v>75</x:v>
      </x:c>
      <x:c r="J7" s="7" t="str">
        <x:v>T5SplitQkvAppendCache_007_float16_random</x:v>
      </x:c>
    </x:row>
    <x:row r="8" ht="38" customHeight="1">
      <x:c r="A8" s="22" t="str">
        <x:v>[[1,1,384],[1,1,8192,128],[1,1,8192,128]]</x:v>
      </x:c>
      <x:c r="B8" s="13" t="str">
        <x:v>float16</x:v>
      </x:c>
      <x:c r="C8" s="13" t="str">
        <x:f>IF(F8&lt;=I8,"通过","未通过")</x:f>
        <x:v>通过</x:v>
      </x:c>
      <x:c r="D8" s="7" t="str">
        <x:v>3.2 性能自验证日志.log</x:v>
      </x:c>
      <x:c r="E8" s="8" t="n">
        <x:f>MEDIAN('逐轮记录'!E22:E26)</x:f>
        <x:v>84.01909500000001</x:v>
      </x:c>
      <x:c r="F8" s="8" t="n">
        <x:f>MEDIAN('逐轮记录'!C22:C26)</x:f>
        <x:v>24.156380000000002</x:v>
      </x:c>
      <x:c r="G8" s="8" t="n">
        <x:f t="shared" si="0">F8/E8</x:f>
        <x:v>0.2875105950617535</x:v>
      </x:c>
      <x:c r="H8" s="7" t="str">
        <x:v>50 次预热；5×200 次；每次分配新输出</x:v>
      </x:c>
      <x:c r="I8" s="7" t="n">
        <x:v>29</x:v>
      </x:c>
      <x:c r="J8" s="7" t="str">
        <x:v>T5SplitQkvAppendCache_008_float16_random</x:v>
      </x:c>
    </x:row>
    <x:row r="9" ht="38" customHeight="1">
      <x:c r="A9" s="22" t="str">
        <x:v>[[4,1,1536],[4,8,0,64],[4,8,0,64]]</x:v>
      </x:c>
      <x:c r="B9" s="13" t="str">
        <x:v>bfloat16</x:v>
      </x:c>
      <x:c r="C9" s="13" t="str">
        <x:f>IF(F9&lt;=I9,"通过","未通过")</x:f>
        <x:v>通过</x:v>
      </x:c>
      <x:c r="D9" s="7" t="str">
        <x:v>3.2 性能自验证日志.log</x:v>
      </x:c>
      <x:c r="E9" s="8" t="n">
        <x:f>MEDIAN('逐轮记录'!E27:E31)</x:f>
        <x:v>74.639805</x:v>
      </x:c>
      <x:c r="F9" s="8" t="n">
        <x:f>MEDIAN('逐轮记录'!C27:C31)</x:f>
        <x:v>24.035625</x:v>
      </x:c>
      <x:c r="G9" s="8" t="n">
        <x:f t="shared" si="0">F9/E9</x:f>
        <x:v>0.32202154065113114</x:v>
      </x:c>
      <x:c r="H9" s="7" t="str">
        <x:v>50 次预热；5×200 次；每次分配新输出</x:v>
      </x:c>
      <x:c r="I9" s="7" t="n">
        <x:v>28</x:v>
      </x:c>
      <x:c r="J9" s="7" t="str">
        <x:v>T5SplitQkvAppendCache_011_bfloat16_random</x:v>
      </x:c>
    </x:row>
    <x:row r="10" ht="38" customHeight="1">
      <x:c r="A10" s="22" t="str">
        <x:v>[[1,1,1536],[1,8,128,64],[1,8,128,64]]</x:v>
      </x:c>
      <x:c r="B10" s="13" t="str">
        <x:v>bfloat16</x:v>
      </x:c>
      <x:c r="C10" s="13" t="str">
        <x:f>IF(F10&lt;=I10,"通过","未通过")</x:f>
        <x:v>通过</x:v>
      </x:c>
      <x:c r="D10" s="7" t="str">
        <x:v>3.2 性能自验证日志.log</x:v>
      </x:c>
      <x:c r="E10" s="8" t="n">
        <x:f>MEDIAN('逐轮记录'!E32:E36)</x:f>
        <x:v>83.57569000000001</x:v>
      </x:c>
      <x:c r="F10" s="8" t="n">
        <x:f>MEDIAN('逐轮记录'!C32:C36)</x:f>
        <x:v>25.115935</x:v>
      </x:c>
      <x:c r="G10" s="8" t="n">
        <x:f t="shared" si="0">F10/E10</x:f>
        <x:v>0.30051723174525985</x:v>
      </x:c>
      <x:c r="H10" s="7" t="str">
        <x:v>50 次预热；5×200 次；每次分配新输出</x:v>
      </x:c>
      <x:c r="I10" s="7" t="n">
        <x:v>28</x:v>
      </x:c>
      <x:c r="J10" s="7" t="str">
        <x:v>T5SplitQkvAppendCache_015_bfloat16_random</x:v>
      </x:c>
    </x:row>
    <x:row r="11" ht="38" customHeight="1">
      <x:c r="A11" s="22" t="str">
        <x:v>[[8,1,2304],[8,12,512,64],[8,12,512,64]]</x:v>
      </x:c>
      <x:c r="B11" s="13" t="str">
        <x:v>bfloat16</x:v>
      </x:c>
      <x:c r="C11" s="13" t="str">
        <x:f>IF(F11&lt;=I11,"通过","未通过")</x:f>
        <x:v>通过</x:v>
      </x:c>
      <x:c r="D11" s="7" t="str">
        <x:v>3.2 性能自验证日志.log</x:v>
      </x:c>
      <x:c r="E11" s="8" t="n">
        <x:f>MEDIAN('逐轮记录'!E37:E41)</x:f>
        <x:v>78.34979</x:v>
      </x:c>
      <x:c r="F11" s="8" t="n">
        <x:f>MEDIAN('逐轮记录'!C37:C41)</x:f>
        <x:v>24.379375</x:v>
      </x:c>
      <x:c r="G11" s="8" t="n">
        <x:f t="shared" si="0">F11/E11</x:f>
        <x:v>0.3111606936023696</x:v>
      </x:c>
      <x:c r="H11" s="7" t="str">
        <x:v>50 次预热；5×200 次；每次分配新输出</x:v>
      </x:c>
      <x:c r="I11" s="7" t="n">
        <x:v>29</x:v>
      </x:c>
      <x:c r="J11" s="7" t="str">
        <x:v>T5SplitQkvAppendCache_016_bfloat16_random</x:v>
      </x:c>
    </x:row>
    <x:row r="12" ht="38" customHeight="1">
      <x:c r="A12" s="22" t="str">
        <x:v>[[16,1,3072],[16,16,2048,64],[16,16,2048,64]]</x:v>
      </x:c>
      <x:c r="B12" s="13" t="str">
        <x:v>bfloat16</x:v>
      </x:c>
      <x:c r="C12" s="13" t="str">
        <x:f>IF(F12&lt;=I12,"通过","未通过")</x:f>
        <x:v>通过</x:v>
      </x:c>
      <x:c r="D12" s="7" t="str">
        <x:v>3.2 性能自验证日志.log</x:v>
      </x:c>
      <x:c r="E12" s="8" t="n">
        <x:f>MEDIAN('逐轮记录'!E42:E46)</x:f>
        <x:v>203.88483</x:v>
      </x:c>
      <x:c r="F12" s="8" t="n">
        <x:f>MEDIAN('逐轮记录'!C42:C46)</x:f>
        <x:v>57.39339</x:v>
      </x:c>
      <x:c r="G12" s="8" t="n">
        <x:f t="shared" si="0">F12/E12</x:f>
        <x:v>0.28149906984251843</x:v>
      </x:c>
      <x:c r="H12" s="14" t="str">
        <x:v>50 次预热；5×200 次；每次分配新输出</x:v>
      </x:c>
      <x:c r="I12" s="7" t="n">
        <x:v>77</x:v>
      </x:c>
      <x:c r="J12" s="7" t="str">
        <x:v>T5SplitQkvAppendCache_017_bfloat16_random</x:v>
      </x:c>
    </x:row>
    <x:row r="13" ht="38" customHeight="1">
      <x:c r="A13" s="22" t="str">
        <x:v>[[1,1,384],[1,1,8192,128],[1,1,8192,128]]</x:v>
      </x:c>
      <x:c r="B13" s="13" t="str">
        <x:v>bfloat16</x:v>
      </x:c>
      <x:c r="C13" s="13" t="str">
        <x:f>IF(F13&lt;=I13,"通过","未通过")</x:f>
        <x:v>通过</x:v>
      </x:c>
      <x:c r="D13" s="7" t="str">
        <x:v>3.2 性能自验证日志.log</x:v>
      </x:c>
      <x:c r="E13" s="8" t="n">
        <x:f>MEDIAN('逐轮记录'!E47:E51)</x:f>
        <x:v>87.28333</x:v>
      </x:c>
      <x:c r="F13" s="8" t="n">
        <x:f>MEDIAN('逐轮记录'!C47:C51)</x:f>
        <x:v>24.725385</x:v>
      </x:c>
      <x:c r="G13" s="8" t="n">
        <x:f t="shared" si="0">F13/E13</x:f>
        <x:v>0.28327728788532697</x:v>
      </x:c>
      <x:c r="H13" s="7" t="str">
        <x:v>50 次预热；5×200 次；每次分配新输出</x:v>
      </x:c>
      <x:c r="I13" s="7" t="n">
        <x:v>29</x:v>
      </x:c>
      <x:c r="J13" s="7" t="str">
        <x:v>T5SplitQkvAppendCache_018_bfloat16_random</x:v>
      </x:c>
    </x:row>
    <x:row r="14" ht="13.5">
      <x:c r="A14" s="4"/>
      <x:c r="B14" s="5"/>
      <x:c r="C14" s="5"/>
    </x:row>
    <x:row r="15" ht="13.5">
      <x:c r="A15" s="4"/>
      <x:c r="B15" s="5"/>
      <x:c r="C15" s="5"/>
    </x:row>
    <x:row r="16" ht="13.5">
      <x:c r="A16" s="4"/>
      <x:c r="B16" s="5"/>
      <x:c r="C16" s="5"/>
    </x:row>
    <x:row r="17" ht="13.5">
      <x:c r="A17" s="4"/>
      <x:c r="B17" s="5"/>
      <x:c r="C17" s="5"/>
    </x:row>
    <x:row r="18" ht="13.5">
      <x:c r="A18" s="4"/>
      <x:c r="B18" s="5"/>
      <x:c r="C18" s="5"/>
    </x:row>
    <x:row r="19" ht="13.5">
      <x:c r="A19" s="4"/>
      <x:c r="B19" s="5"/>
      <x:c r="C19" s="5"/>
    </x:row>
    <x:row r="20" ht="13.5">
      <x:c r="A20" s="4"/>
      <x:c r="B20" s="5"/>
      <x:c r="C20" s="5"/>
    </x:row>
    <x:row r="21" ht="13.5">
      <x:c r="A21" s="4"/>
      <x:c r="B21" s="5"/>
      <x:c r="C21" s="5"/>
    </x:row>
    <x:row r="22" ht="13.5">
      <x:c r="A22" s="4"/>
      <x:c r="B22" s="5"/>
      <x:c r="C22" s="5"/>
    </x:row>
    <x:row r="23" ht="13.5">
      <x:c r="A23" s="4"/>
      <x:c r="B23" s="5"/>
      <x:c r="C23" s="5"/>
    </x:row>
    <x:row r="24" ht="13.5">
      <x:c r="A24" s="4"/>
      <x:c r="B24" s="5"/>
      <x:c r="C24" s="5"/>
    </x:row>
    <x:row r="25" ht="13.5">
      <x:c r="A25" s="4"/>
      <x:c r="B25" s="5"/>
      <x:c r="C25" s="5"/>
    </x:row>
    <x:row r="26" ht="13.5">
      <x:c r="A26" s="4"/>
      <x:c r="B26" s="5"/>
      <x:c r="C26" s="5"/>
    </x:row>
    <x:row r="27" ht="13.5">
      <x:c r="A27" s="4"/>
      <x:c r="B27" s="5"/>
      <x:c r="C27" s="5"/>
    </x:row>
    <x:row r="28" ht="13.5">
      <x:c r="A28" s="4"/>
      <x:c r="B28" s="5"/>
      <x:c r="C28" s="5"/>
    </x:row>
    <x:row r="29" ht="13.5">
      <x:c r="A29" s="4"/>
      <x:c r="B29" s="5"/>
      <x:c r="C29" s="5"/>
    </x:row>
    <x:row r="30" ht="13.5">
      <x:c r="A30" s="4"/>
      <x:c r="B30" s="5"/>
      <x:c r="C30" s="5"/>
    </x:row>
    <x:row r="31" ht="13.5">
      <x:c r="A31" s="4"/>
      <x:c r="B31" s="5"/>
      <x:c r="C31" s="5"/>
    </x:row>
    <x:row r="32" ht="13.5">
      <x:c r="A32" s="4"/>
      <x:c r="B32" s="5"/>
      <x:c r="C32" s="5"/>
    </x:row>
    <x:row r="33" ht="13.5">
      <x:c r="A33" s="4"/>
      <x:c r="B33" s="5"/>
      <x:c r="C33" s="5"/>
    </x:row>
    <x:row r="34" ht="13.5">
      <x:c r="A34" s="4"/>
      <x:c r="B34" s="5"/>
      <x:c r="C34" s="5"/>
    </x:row>
    <x:row r="35" ht="13.5">
      <x:c r="A35" s="4"/>
      <x:c r="B35" s="5"/>
      <x:c r="C35" s="5"/>
    </x:row>
    <x:row r="36" ht="13.5">
      <x:c r="A36" s="4"/>
      <x:c r="B36" s="5"/>
      <x:c r="C36" s="5"/>
    </x:row>
    <x:row r="37" ht="13.5">
      <x:c r="A37" s="4"/>
      <x:c r="B37" s="5"/>
      <x:c r="C37" s="5"/>
    </x:row>
    <x:row r="38" ht="13.5">
      <x:c r="A38" s="4"/>
      <x:c r="B38" s="5"/>
      <x:c r="C38" s="5"/>
    </x:row>
    <x:row r="39" ht="13.5">
      <x:c r="A39" s="4"/>
      <x:c r="B39" s="5"/>
      <x:c r="C39" s="5"/>
    </x:row>
    <x:row r="40" ht="13.5">
      <x:c r="A40" s="4"/>
      <x:c r="B40" s="5"/>
      <x:c r="C40" s="5"/>
    </x:row>
    <x:row r="41" ht="13.5">
      <x:c r="A41" s="4"/>
      <x:c r="B41" s="5"/>
      <x:c r="C41" s="5"/>
    </x:row>
    <x:row r="42" ht="13.5">
      <x:c r="A42" s="4"/>
      <x:c r="B42" s="5"/>
      <x:c r="C42" s="5"/>
    </x:row>
  </x:sheetData>
  <x:mergeCells>
    <x:mergeCell ref="A1:F2"/>
  </x:mergeCells>
  <x:conditionalFormatting sqref="C4:C13">
    <x:cfRule type="containsText" dxfId="0" priority="1" operator="containsText" text="未通过"/>
  </x:conditionalFormatting>
  <x:dataValidations count="1">
    <x:dataValidation type="list" showInputMessage="1" showErrorMessage="1" sqref="C4:C42">
      <x:formula1>"通过,不通过"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6" hidden="0" customWidth="1"/>
    <x:col min="2" max="2" width="10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2" customHeight="1">
      <x:c r="A1" s="9" t="str">
        <x:v>用例 ID</x:v>
      </x:c>
      <x:c r="B1" s="9" t="str">
        <x:v>轮次</x:v>
      </x:c>
      <x:c r="C1" s="9" t="str">
        <x:v>实现 wall μs</x:v>
      </x:c>
      <x:c r="D1" s="9" t="str">
        <x:v>实现 event μs</x:v>
      </x:c>
      <x:c r="E1" s="9" t="str">
        <x:v>基线 wall μs</x:v>
      </x:c>
      <x:c r="F1" s="9" t="str">
        <x:v>基线 event μs</x:v>
      </x:c>
      <x:c r="G1" s="7"/>
      <x:c r="H1" s="7" t="str">
        <x:v>来源：descriptor-cache/performance.json 与 baseline/baseline.json；原始日志见 3.2 性能自验证日志.log。</x:v>
      </x:c>
    </x:row>
    <x:row r="2" ht="22" customHeight="1">
      <x:c r="A2" s="7" t="str">
        <x:v>T5SplitQkvAppendCache_001_float16_random</x:v>
      </x:c>
      <x:c r="B2" s="7" t="n">
        <x:v>1</x:v>
      </x:c>
      <x:c r="C2" s="8" t="n">
        <x:v>27.398455000000002</x:v>
      </x:c>
      <x:c r="D2" s="8" t="n">
        <x:v>23.2738995552063</x:v>
      </x:c>
      <x:c r="E2" s="8" t="n">
        <x:v>81.039715</x:v>
      </x:c>
      <x:c r="F2" s="8" t="n">
        <x:v>77.29350090026855</x:v>
      </x:c>
      <x:c r="G2" s="7"/>
      <x:c r="H2" s="7"/>
    </x:row>
    <x:row r="3" ht="22" customHeight="1">
      <x:c r="A3" s="7" t="str">
        <x:v>T5SplitQkvAppendCache_001_float16_random</x:v>
      </x:c>
      <x:c r="B3" s="7" t="n">
        <x:v>2</x:v>
      </x:c>
      <x:c r="C3" s="8" t="n">
        <x:v>23.55252</x:v>
      </x:c>
      <x:c r="D3" s="8" t="n">
        <x:v>23.10889959335327</x:v>
      </x:c>
      <x:c r="E3" s="8" t="n">
        <x:v>76.74333</x:v>
      </x:c>
      <x:c r="F3" s="8" t="n">
        <x:v>76.37149810791016</x:v>
      </x:c>
      <x:c r="G3" s="7"/>
      <x:c r="H3" s="7"/>
    </x:row>
    <x:row r="4" ht="22" customHeight="1">
      <x:c r="A4" s="7" t="str">
        <x:v>T5SplitQkvAppendCache_001_float16_random</x:v>
      </x:c>
      <x:c r="B4" s="7" t="n">
        <x:v>3</x:v>
      </x:c>
      <x:c r="C4" s="8" t="n">
        <x:v>23.40362</x:v>
      </x:c>
      <x:c r="D4" s="8" t="n">
        <x:v>22.958099842071533</x:v>
      </x:c>
      <x:c r="E4" s="8" t="n">
        <x:v>76.56152499999999</x:v>
      </x:c>
      <x:c r="F4" s="8" t="n">
        <x:v>76.214599609375</x:v>
      </x:c>
      <x:c r="G4" s="7"/>
      <x:c r="H4" s="7"/>
    </x:row>
    <x:row r="5" ht="22" customHeight="1">
      <x:c r="A5" s="7" t="str">
        <x:v>T5SplitQkvAppendCache_001_float16_random</x:v>
      </x:c>
      <x:c r="B5" s="7" t="n">
        <x:v>4</x:v>
      </x:c>
      <x:c r="C5" s="8" t="n">
        <x:v>23.328319999999998</x:v>
      </x:c>
      <x:c r="D5" s="8" t="n">
        <x:v>22.88140058517456</x:v>
      </x:c>
      <x:c r="E5" s="8" t="n">
        <x:v>76.540325</x:v>
      </x:c>
      <x:c r="F5" s="8" t="n">
        <x:v>76.19379997253418</x:v>
      </x:c>
      <x:c r="G5" s="7"/>
      <x:c r="H5" s="7"/>
    </x:row>
    <x:row r="6" ht="22" customHeight="1">
      <x:c r="A6" s="7" t="str">
        <x:v>T5SplitQkvAppendCache_001_float16_random</x:v>
      </x:c>
      <x:c r="B6" s="7" t="n">
        <x:v>5</x:v>
      </x:c>
      <x:c r="C6" s="8" t="n">
        <x:v>23.36667</x:v>
      </x:c>
      <x:c r="D6" s="8" t="n">
        <x:v>22.874000072479248</x:v>
      </x:c>
      <x:c r="E6" s="8" t="n">
        <x:v>76.630375</x:v>
      </x:c>
      <x:c r="F6" s="8" t="n">
        <x:v>76.28620147705078</x:v>
      </x:c>
      <x:c r="G6" s="7"/>
      <x:c r="H6" s="7"/>
    </x:row>
    <x:row r="7" ht="22" customHeight="1">
      <x:c r="A7" s="7" t="str">
        <x:v>T5SplitQkvAppendCache_005_float16_random</x:v>
      </x:c>
      <x:c r="B7" s="7" t="n">
        <x:v>1</x:v>
      </x:c>
      <x:c r="C7" s="8" t="n">
        <x:v>23.82607</x:v>
      </x:c>
      <x:c r="D7" s="8" t="n">
        <x:v>23.289000988006592</x:v>
      </x:c>
      <x:c r="E7" s="8" t="n">
        <x:v>86.94577000000001</x:v>
      </x:c>
      <x:c r="F7" s="8" t="n">
        <x:v>86.51909828186035</x:v>
      </x:c>
      <x:c r="G7" s="7"/>
      <x:c r="H7" s="7"/>
    </x:row>
    <x:row r="8" ht="22" customHeight="1">
      <x:c r="A8" s="7" t="str">
        <x:v>T5SplitQkvAppendCache_005_float16_random</x:v>
      </x:c>
      <x:c r="B8" s="7" t="n">
        <x:v>2</x:v>
      </x:c>
      <x:c r="C8" s="8" t="n">
        <x:v>23.899224999999998</x:v>
      </x:c>
      <x:c r="D8" s="8" t="n">
        <x:v>23.369998931884766</x:v>
      </x:c>
      <x:c r="E8" s="8" t="n">
        <x:v>84.129345</x:v>
      </x:c>
      <x:c r="F8" s="8" t="n">
        <x:v>83.78040313720703</x:v>
      </x:c>
      <x:c r="G8" s="7"/>
      <x:c r="H8" s="7"/>
    </x:row>
    <x:row r="9" ht="22" customHeight="1">
      <x:c r="A9" s="7" t="str">
        <x:v>T5SplitQkvAppendCache_005_float16_random</x:v>
      </x:c>
      <x:c r="B9" s="7" t="n">
        <x:v>3</x:v>
      </x:c>
      <x:c r="C9" s="8" t="n">
        <x:v>23.870425</x:v>
      </x:c>
      <x:c r="D9" s="8" t="n">
        <x:v>23.311800956726074</x:v>
      </x:c>
      <x:c r="E9" s="8" t="n">
        <x:v>82.978435</x:v>
      </x:c>
      <x:c r="F9" s="8" t="n">
        <x:v>82.62009620666504</x:v>
      </x:c>
      <x:c r="G9" s="7"/>
      <x:c r="H9" s="7"/>
    </x:row>
    <x:row r="10" ht="22" customHeight="1">
      <x:c r="A10" s="7" t="str">
        <x:v>T5SplitQkvAppendCache_005_float16_random</x:v>
      </x:c>
      <x:c r="B10" s="7" t="n">
        <x:v>4</x:v>
      </x:c>
      <x:c r="C10" s="8" t="n">
        <x:v>23.787470000000003</x:v>
      </x:c>
      <x:c r="D10" s="8" t="n">
        <x:v>23.263800144195557</x:v>
      </x:c>
      <x:c r="E10" s="8" t="n">
        <x:v>83.11194</x:v>
      </x:c>
      <x:c r="F10" s="8" t="n">
        <x:v>82.76379585266113</x:v>
      </x:c>
      <x:c r="G10" s="7"/>
      <x:c r="H10" s="7"/>
    </x:row>
    <x:row r="11" ht="22" customHeight="1">
      <x:c r="A11" s="7" t="str">
        <x:v>T5SplitQkvAppendCache_005_float16_random</x:v>
      </x:c>
      <x:c r="B11" s="7" t="n">
        <x:v>5</x:v>
      </x:c>
      <x:c r="C11" s="8" t="n">
        <x:v>23.980825</x:v>
      </x:c>
      <x:c r="D11" s="8" t="n">
        <x:v>23.5125994682312</x:v>
      </x:c>
      <x:c r="E11" s="8" t="n">
        <x:v>83.111485</x:v>
      </x:c>
      <x:c r="F11" s="8" t="n">
        <x:v>82.76670455932617</x:v>
      </x:c>
      <x:c r="G11" s="7"/>
      <x:c r="H11" s="7"/>
    </x:row>
    <x:row r="12" ht="22" customHeight="1">
      <x:c r="A12" s="7" t="str">
        <x:v>T5SplitQkvAppendCache_006_float16_random</x:v>
      </x:c>
      <x:c r="B12" s="7" t="n">
        <x:v>1</x:v>
      </x:c>
      <x:c r="C12" s="8" t="n">
        <x:v>24.627035</x:v>
      </x:c>
      <x:c r="D12" s="8" t="n">
        <x:v>24.12750005722046</x:v>
      </x:c>
      <x:c r="E12" s="8" t="n">
        <x:v>76.652075</x:v>
      </x:c>
      <x:c r="F12" s="8" t="n">
        <x:v>76.2412977218628</x:v>
      </x:c>
      <x:c r="G12" s="7"/>
      <x:c r="H12" s="7"/>
    </x:row>
    <x:row r="13" ht="22" customHeight="1">
      <x:c r="A13" s="7" t="str">
        <x:v>T5SplitQkvAppendCache_006_float16_random</x:v>
      </x:c>
      <x:c r="B13" s="7" t="n">
        <x:v>2</x:v>
      </x:c>
      <x:c r="C13" s="8" t="n">
        <x:v>24.51153</x:v>
      </x:c>
      <x:c r="D13" s="8" t="n">
        <x:v>24.06090021133423</x:v>
      </x:c>
      <x:c r="E13" s="8" t="n">
        <x:v>76.792025</x:v>
      </x:c>
      <x:c r="F13" s="8" t="n">
        <x:v>76.45249843597412</x:v>
      </x:c>
      <x:c r="G13" s="7"/>
      <x:c r="H13" s="7"/>
    </x:row>
    <x:row r="14" ht="22" customHeight="1">
      <x:c r="A14" s="7" t="str">
        <x:v>T5SplitQkvAppendCache_006_float16_random</x:v>
      </x:c>
      <x:c r="B14" s="7" t="n">
        <x:v>3</x:v>
      </x:c>
      <x:c r="C14" s="8" t="n">
        <x:v>24.540080000000003</x:v>
      </x:c>
      <x:c r="D14" s="8" t="n">
        <x:v>24.06599998474121</x:v>
      </x:c>
      <x:c r="E14" s="8" t="n">
        <x:v>76.43107</x:v>
      </x:c>
      <x:c r="F14" s="8" t="n">
        <x:v>76.08099937438965</x:v>
      </x:c>
      <x:c r="G14" s="7"/>
      <x:c r="H14" s="7"/>
    </x:row>
    <x:row r="15" ht="22" customHeight="1">
      <x:c r="A15" s="7" t="str">
        <x:v>T5SplitQkvAppendCache_006_float16_random</x:v>
      </x:c>
      <x:c r="B15" s="7" t="n">
        <x:v>4</x:v>
      </x:c>
      <x:c r="C15" s="8" t="n">
        <x:v>24.30293</x:v>
      </x:c>
      <x:c r="D15" s="8" t="n">
        <x:v>23.785300254821777</x:v>
      </x:c>
      <x:c r="E15" s="8" t="n">
        <x:v>76.38147500000001</x:v>
      </x:c>
      <x:c r="F15" s="8" t="n">
        <x:v>76.02849960327148</x:v>
      </x:c>
      <x:c r="G15" s="7"/>
      <x:c r="H15" s="7"/>
    </x:row>
    <x:row r="16" ht="22" customHeight="1">
      <x:c r="A16" s="7" t="str">
        <x:v>T5SplitQkvAppendCache_006_float16_random</x:v>
      </x:c>
      <x:c r="B16" s="7" t="n">
        <x:v>5</x:v>
      </x:c>
      <x:c r="C16" s="8" t="n">
        <x:v>24.26868</x:v>
      </x:c>
      <x:c r="D16" s="8" t="n">
        <x:v>23.719899654388428</x:v>
      </x:c>
      <x:c r="E16" s="8" t="n">
        <x:v>78.25084</x:v>
      </x:c>
      <x:c r="F16" s="8" t="n">
        <x:v>77.92799949645996</x:v>
      </x:c>
      <x:c r="G16" s="7"/>
      <x:c r="H16" s="7"/>
    </x:row>
    <x:row r="17" ht="22" customHeight="1">
      <x:c r="A17" s="7" t="str">
        <x:v>T5SplitQkvAppendCache_007_float16_random</x:v>
      </x:c>
      <x:c r="B17" s="7" t="n">
        <x:v>1</x:v>
      </x:c>
      <x:c r="C17" s="8" t="n">
        <x:v>57.841195</x:v>
      </x:c>
      <x:c r="D17" s="8" t="n">
        <x:v>56.981000900268555</x:v>
      </x:c>
      <x:c r="E17" s="8" t="n">
        <x:v>204.13843</x:v>
      </x:c>
      <x:c r="F17" s="8" t="n">
        <x:v>203.42180252075195</x:v>
      </x:c>
      <x:c r="G17" s="7"/>
      <x:c r="H17" s="7"/>
    </x:row>
    <x:row r="18" ht="22" customHeight="1">
      <x:c r="A18" s="7" t="str">
        <x:v>T5SplitQkvAppendCache_007_float16_random</x:v>
      </x:c>
      <x:c r="B18" s="7" t="n">
        <x:v>2</x:v>
      </x:c>
      <x:c r="C18" s="8" t="n">
        <x:v>57.311440000000005</x:v>
      </x:c>
      <x:c r="D18" s="8" t="n">
        <x:v>56.83040142059326</x:v>
      </x:c>
      <x:c r="E18" s="8" t="n">
        <x:v>203.656875</x:v>
      </x:c>
      <x:c r="F18" s="8" t="n">
        <x:v>203.18479537963867</x:v>
      </x:c>
      <x:c r="G18" s="7"/>
      <x:c r="H18" s="7"/>
    </x:row>
    <x:row r="19" ht="22" customHeight="1">
      <x:c r="A19" s="7" t="str">
        <x:v>T5SplitQkvAppendCache_007_float16_random</x:v>
      </x:c>
      <x:c r="B19" s="7" t="n">
        <x:v>3</x:v>
      </x:c>
      <x:c r="C19" s="8" t="n">
        <x:v>57.36584</x:v>
      </x:c>
      <x:c r="D19" s="8" t="n">
        <x:v>56.911001205444336</x:v>
      </x:c>
      <x:c r="E19" s="8" t="n">
        <x:v>203.55057</x:v>
      </x:c>
      <x:c r="F19" s="8" t="n">
        <x:v>203.0929946899414</x:v>
      </x:c>
      <x:c r="G19" s="7"/>
      <x:c r="H19" s="7"/>
    </x:row>
    <x:row r="20" ht="22" customHeight="1">
      <x:c r="A20" s="7" t="str">
        <x:v>T5SplitQkvAppendCache_007_float16_random</x:v>
      </x:c>
      <x:c r="B20" s="7" t="n">
        <x:v>4</x:v>
      </x:c>
      <x:c r="C20" s="8" t="n">
        <x:v>57.369589999999995</x:v>
      </x:c>
      <x:c r="D20" s="8" t="n">
        <x:v>56.91309928894043</x:v>
      </x:c>
      <x:c r="E20" s="8" t="n">
        <x:v>203.484425</x:v>
      </x:c>
      <x:c r="F20" s="8" t="n">
        <x:v>203.01389694213867</x:v>
      </x:c>
      <x:c r="G20" s="7"/>
      <x:c r="H20" s="7"/>
    </x:row>
    <x:row r="21" ht="22" customHeight="1">
      <x:c r="A21" s="7" t="str">
        <x:v>T5SplitQkvAppendCache_007_float16_random</x:v>
      </x:c>
      <x:c r="B21" s="7" t="n">
        <x:v>5</x:v>
      </x:c>
      <x:c r="C21" s="8" t="n">
        <x:v>57.40569</x:v>
      </x:c>
      <x:c r="D21" s="8" t="n">
        <x:v>56.983699798583984</x:v>
      </x:c>
      <x:c r="E21" s="8" t="n">
        <x:v>203.239075</x:v>
      </x:c>
      <x:c r="F21" s="8" t="n">
        <x:v>202.81770706176758</x:v>
      </x:c>
      <x:c r="G21" s="7"/>
      <x:c r="H21" s="7"/>
    </x:row>
    <x:row r="22" ht="22" customHeight="1">
      <x:c r="A22" s="7" t="str">
        <x:v>T5SplitQkvAppendCache_008_float16_random</x:v>
      </x:c>
      <x:c r="B22" s="7" t="n">
        <x:v>1</x:v>
      </x:c>
      <x:c r="C22" s="8" t="n">
        <x:v>24.26898</x:v>
      </x:c>
      <x:c r="D22" s="8" t="n">
        <x:v>23.69070053100586</x:v>
      </x:c>
      <x:c r="E22" s="8" t="n">
        <x:v>84.4411</x:v>
      </x:c>
      <x:c r="F22" s="8" t="n">
        <x:v>83.99660110473633</x:v>
      </x:c>
      <x:c r="G22" s="7"/>
      <x:c r="H22" s="7"/>
    </x:row>
    <x:row r="23" ht="22" customHeight="1">
      <x:c r="A23" s="7" t="str">
        <x:v>T5SplitQkvAppendCache_008_float16_random</x:v>
      </x:c>
      <x:c r="B23" s="7" t="n">
        <x:v>2</x:v>
      </x:c>
      <x:c r="C23" s="8" t="n">
        <x:v>24.156380000000002</x:v>
      </x:c>
      <x:c r="D23" s="8" t="n">
        <x:v>23.655900955200195</x:v>
      </x:c>
      <x:c r="E23" s="8" t="n">
        <x:v>84.080645</x:v>
      </x:c>
      <x:c r="F23" s="8" t="n">
        <x:v>83.53679656982422</x:v>
      </x:c>
      <x:c r="G23" s="7"/>
      <x:c r="H23" s="7"/>
    </x:row>
    <x:row r="24" ht="22" customHeight="1">
      <x:c r="A24" s="7" t="str">
        <x:v>T5SplitQkvAppendCache_008_float16_random</x:v>
      </x:c>
      <x:c r="B24" s="7" t="n">
        <x:v>3</x:v>
      </x:c>
      <x:c r="C24" s="8" t="n">
        <x:v>24.00118</x:v>
      </x:c>
      <x:c r="D24" s="8" t="n">
        <x:v>23.45060110092163</x:v>
      </x:c>
      <x:c r="E24" s="8" t="n">
        <x:v>84.000845</x:v>
      </x:c>
      <x:c r="F24" s="8" t="n">
        <x:v>83.35049629211426</x:v>
      </x:c>
      <x:c r="G24" s="7"/>
      <x:c r="H24" s="7"/>
    </x:row>
    <x:row r="25" ht="22" customHeight="1">
      <x:c r="A25" s="7" t="str">
        <x:v>T5SplitQkvAppendCache_008_float16_random</x:v>
      </x:c>
      <x:c r="B25" s="7" t="n">
        <x:v>4</x:v>
      </x:c>
      <x:c r="C25" s="8" t="n">
        <x:v>23.936675</x:v>
      </x:c>
      <x:c r="D25" s="8" t="n">
        <x:v>23.35750102996826</x:v>
      </x:c>
      <x:c r="E25" s="8" t="n">
        <x:v>83.910495</x:v>
      </x:c>
      <x:c r="F25" s="8" t="n">
        <x:v>83.45640182495117</x:v>
      </x:c>
      <x:c r="G25" s="7"/>
      <x:c r="H25" s="7"/>
    </x:row>
    <x:row r="26" ht="22" customHeight="1">
      <x:c r="A26" s="7" t="str">
        <x:v>T5SplitQkvAppendCache_008_float16_random</x:v>
      </x:c>
      <x:c r="B26" s="7" t="n">
        <x:v>5</x:v>
      </x:c>
      <x:c r="C26" s="8" t="n">
        <x:v>24.226775</x:v>
      </x:c>
      <x:c r="D26" s="8" t="n">
        <x:v>23.821001052856445</x:v>
      </x:c>
      <x:c r="E26" s="8" t="n">
        <x:v>84.01909500000001</x:v>
      </x:c>
      <x:c r="F26" s="8" t="n">
        <x:v>83.43339920043945</x:v>
      </x:c>
      <x:c r="G26" s="7"/>
      <x:c r="H26" s="7"/>
    </x:row>
    <x:row r="27" ht="22" customHeight="1">
      <x:c r="A27" s="7" t="str">
        <x:v>T5SplitQkvAppendCache_011_bfloat16_random</x:v>
      </x:c>
      <x:c r="B27" s="7" t="n">
        <x:v>1</x:v>
      </x:c>
      <x:c r="C27" s="8" t="n">
        <x:v>24.035625</x:v>
      </x:c>
      <x:c r="D27" s="8" t="n">
        <x:v>23.5617995262146</x:v>
      </x:c>
      <x:c r="E27" s="8" t="n">
        <x:v>74.84125999999999</x:v>
      </x:c>
      <x:c r="F27" s="8" t="n">
        <x:v>74.28299903869629</x:v>
      </x:c>
      <x:c r="G27" s="7"/>
      <x:c r="H27" s="7"/>
    </x:row>
    <x:row r="28" ht="22" customHeight="1">
      <x:c r="A28" s="7" t="str">
        <x:v>T5SplitQkvAppendCache_011_bfloat16_random</x:v>
      </x:c>
      <x:c r="B28" s="7" t="n">
        <x:v>2</x:v>
      </x:c>
      <x:c r="C28" s="8" t="n">
        <x:v>23.683975</x:v>
      </x:c>
      <x:c r="D28" s="8" t="n">
        <x:v>23.242199420928955</x:v>
      </x:c>
      <x:c r="E28" s="8" t="n">
        <x:v>74.73491</x:v>
      </x:c>
      <x:c r="F28" s="8" t="n">
        <x:v>74.14490222930908</x:v>
      </x:c>
      <x:c r="G28" s="7"/>
      <x:c r="H28" s="7"/>
    </x:row>
    <x:row r="29" ht="22" customHeight="1">
      <x:c r="A29" s="7" t="str">
        <x:v>T5SplitQkvAppendCache_011_bfloat16_random</x:v>
      </x:c>
      <x:c r="B29" s="7" t="n">
        <x:v>3</x:v>
      </x:c>
      <x:c r="C29" s="8" t="n">
        <x:v>24.097974999999998</x:v>
      </x:c>
      <x:c r="D29" s="8" t="n">
        <x:v>23.61759901046753</x:v>
      </x:c>
      <x:c r="E29" s="8" t="n">
        <x:v>74.639805</x:v>
      </x:c>
      <x:c r="F29" s="8" t="n">
        <x:v>74.18970108032227</x:v>
      </x:c>
      <x:c r="G29" s="7"/>
      <x:c r="H29" s="7"/>
    </x:row>
    <x:row r="30" ht="22" customHeight="1">
      <x:c r="A30" s="7" t="str">
        <x:v>T5SplitQkvAppendCache_011_bfloat16_random</x:v>
      </x:c>
      <x:c r="B30" s="7" t="n">
        <x:v>4</x:v>
      </x:c>
      <x:c r="C30" s="8" t="n">
        <x:v>23.802725</x:v>
      </x:c>
      <x:c r="D30" s="8" t="n">
        <x:v>23.303699493408203</x:v>
      </x:c>
      <x:c r="E30" s="8" t="n">
        <x:v>74.03665</x:v>
      </x:c>
      <x:c r="F30" s="8" t="n">
        <x:v>73.45469951629639</x:v>
      </x:c>
      <x:c r="G30" s="7"/>
      <x:c r="H30" s="7"/>
    </x:row>
    <x:row r="31" ht="22" customHeight="1">
      <x:c r="A31" s="7" t="str">
        <x:v>T5SplitQkvAppendCache_011_bfloat16_random</x:v>
      </x:c>
      <x:c r="B31" s="7" t="n">
        <x:v>5</x:v>
      </x:c>
      <x:c r="C31" s="8" t="n">
        <x:v>24.096674999999998</x:v>
      </x:c>
      <x:c r="D31" s="8" t="n">
        <x:v>23.577699661254883</x:v>
      </x:c>
      <x:c r="E31" s="8" t="n">
        <x:v>74.549655</x:v>
      </x:c>
      <x:c r="F31" s="8" t="n">
        <x:v>74.1211986541748</x:v>
      </x:c>
      <x:c r="G31" s="7"/>
      <x:c r="H31" s="7"/>
    </x:row>
    <x:row r="32" ht="22" customHeight="1">
      <x:c r="A32" s="7" t="str">
        <x:v>T5SplitQkvAppendCache_015_bfloat16_random</x:v>
      </x:c>
      <x:c r="B32" s="7" t="n">
        <x:v>1</x:v>
      </x:c>
      <x:c r="C32" s="8" t="n">
        <x:v>25.22539</x:v>
      </x:c>
      <x:c r="D32" s="8" t="n">
        <x:v>24.642300605773926</x:v>
      </x:c>
      <x:c r="E32" s="8" t="n">
        <x:v>83.57569000000001</x:v>
      </x:c>
      <x:c r="F32" s="8" t="n">
        <x:v>82.92719841003418</x:v>
      </x:c>
      <x:c r="G32" s="7"/>
      <x:c r="H32" s="7"/>
    </x:row>
    <x:row r="33" ht="22" customHeight="1">
      <x:c r="A33" s="7" t="str">
        <x:v>T5SplitQkvAppendCache_015_bfloat16_random</x:v>
      </x:c>
      <x:c r="B33" s="7" t="n">
        <x:v>2</x:v>
      </x:c>
      <x:c r="C33" s="8" t="n">
        <x:v>25.113885</x:v>
      </x:c>
      <x:c r="D33" s="8" t="n">
        <x:v>24.550800323486328</x:v>
      </x:c>
      <x:c r="E33" s="8" t="n">
        <x:v>83.56019</x:v>
      </x:c>
      <x:c r="F33" s="8" t="n">
        <x:v>83.07419776916504</x:v>
      </x:c>
      <x:c r="G33" s="7"/>
      <x:c r="H33" s="7"/>
    </x:row>
    <x:row r="34" ht="22" customHeight="1">
      <x:c r="A34" s="7" t="str">
        <x:v>T5SplitQkvAppendCache_015_bfloat16_random</x:v>
      </x:c>
      <x:c r="B34" s="7" t="n">
        <x:v>3</x:v>
      </x:c>
      <x:c r="C34" s="8" t="n">
        <x:v>25.179385</x:v>
      </x:c>
      <x:c r="D34" s="8" t="n">
        <x:v>24.586000442504883</x:v>
      </x:c>
      <x:c r="E34" s="8" t="n">
        <x:v>83.74709</x:v>
      </x:c>
      <x:c r="F34" s="8" t="n">
        <x:v>83.1980037689209</x:v>
      </x:c>
      <x:c r="G34" s="7"/>
      <x:c r="H34" s="7"/>
    </x:row>
    <x:row r="35" ht="22" customHeight="1">
      <x:c r="A35" s="7" t="str">
        <x:v>T5SplitQkvAppendCache_015_bfloat16_random</x:v>
      </x:c>
      <x:c r="B35" s="7" t="n">
        <x:v>4</x:v>
      </x:c>
      <x:c r="C35" s="8" t="n">
        <x:v>24.929885</x:v>
      </x:c>
      <x:c r="D35" s="8" t="n">
        <x:v>24.539198875427246</x:v>
      </x:c>
      <x:c r="E35" s="8" t="n">
        <x:v>83.36334</x:v>
      </x:c>
      <x:c r="F35" s="8" t="n">
        <x:v>82.94599533081055</x:v>
      </x:c>
      <x:c r="G35" s="7"/>
      <x:c r="H35" s="7"/>
    </x:row>
    <x:row r="36" ht="22" customHeight="1">
      <x:c r="A36" s="7" t="str">
        <x:v>T5SplitQkvAppendCache_015_bfloat16_random</x:v>
      </x:c>
      <x:c r="B36" s="7" t="n">
        <x:v>5</x:v>
      </x:c>
      <x:c r="C36" s="8" t="n">
        <x:v>25.115935</x:v>
      </x:c>
      <x:c r="D36" s="8" t="n">
        <x:v>24.688799381256104</x:v>
      </x:c>
      <x:c r="E36" s="8" t="n">
        <x:v>83.66589</x:v>
      </x:c>
      <x:c r="F36" s="8" t="n">
        <x:v>83.13380241394043</x:v>
      </x:c>
      <x:c r="G36" s="7"/>
      <x:c r="H36" s="7"/>
    </x:row>
    <x:row r="37" ht="22" customHeight="1">
      <x:c r="A37" s="7" t="str">
        <x:v>T5SplitQkvAppendCache_016_bfloat16_random</x:v>
      </x:c>
      <x:c r="B37" s="7" t="n">
        <x:v>1</x:v>
      </x:c>
      <x:c r="C37" s="8" t="n">
        <x:v>24.379375</x:v>
      </x:c>
      <x:c r="D37" s="8" t="n">
        <x:v>23.879399299621582</x:v>
      </x:c>
      <x:c r="E37" s="8" t="n">
        <x:v>76.80677499999999</x:v>
      </x:c>
      <x:c r="F37" s="8" t="n">
        <x:v>76.27830028533936</x:v>
      </x:c>
      <x:c r="G37" s="7"/>
      <x:c r="H37" s="7"/>
    </x:row>
    <x:row r="38" ht="22" customHeight="1">
      <x:c r="A38" s="7" t="str">
        <x:v>T5SplitQkvAppendCache_016_bfloat16_random</x:v>
      </x:c>
      <x:c r="B38" s="7" t="n">
        <x:v>2</x:v>
      </x:c>
      <x:c r="C38" s="8" t="n">
        <x:v>24.33943</x:v>
      </x:c>
      <x:c r="D38" s="8" t="n">
        <x:v>23.871400356292725</x:v>
      </x:c>
      <x:c r="E38" s="8" t="n">
        <x:v>77.01088</x:v>
      </x:c>
      <x:c r="F38" s="8" t="n">
        <x:v>76.39530181884766</x:v>
      </x:c>
      <x:c r="G38" s="7"/>
      <x:c r="H38" s="7"/>
    </x:row>
    <x:row r="39" ht="22" customHeight="1">
      <x:c r="A39" s="7" t="str">
        <x:v>T5SplitQkvAppendCache_016_bfloat16_random</x:v>
      </x:c>
      <x:c r="B39" s="7" t="n">
        <x:v>3</x:v>
      </x:c>
      <x:c r="C39" s="8" t="n">
        <x:v>24.37313</x:v>
      </x:c>
      <x:c r="D39" s="8" t="n">
        <x:v>23.860199451446533</x:v>
      </x:c>
      <x:c r="E39" s="8" t="n">
        <x:v>78.34979</x:v>
      </x:c>
      <x:c r="F39" s="8" t="n">
        <x:v>77.8042984008789</x:v>
      </x:c>
      <x:c r="G39" s="7"/>
      <x:c r="H39" s="7"/>
    </x:row>
    <x:row r="40" ht="22" customHeight="1">
      <x:c r="A40" s="7" t="str">
        <x:v>T5SplitQkvAppendCache_016_bfloat16_random</x:v>
      </x:c>
      <x:c r="B40" s="7" t="n">
        <x:v>4</x:v>
      </x:c>
      <x:c r="C40" s="8" t="n">
        <x:v>24.51128</x:v>
      </x:c>
      <x:c r="D40" s="8" t="n">
        <x:v>23.99519920349121</x:v>
      </x:c>
      <x:c r="E40" s="8" t="n">
        <x:v>79.228695</x:v>
      </x:c>
      <x:c r="F40" s="8" t="n">
        <x:v>78.79980087280273</x:v>
      </x:c>
      <x:c r="G40" s="7"/>
      <x:c r="H40" s="7"/>
    </x:row>
    <x:row r="41" ht="22" customHeight="1">
      <x:c r="A41" s="7" t="str">
        <x:v>T5SplitQkvAppendCache_016_bfloat16_random</x:v>
      </x:c>
      <x:c r="B41" s="7" t="n">
        <x:v>5</x:v>
      </x:c>
      <x:c r="C41" s="8" t="n">
        <x:v>24.44948</x:v>
      </x:c>
      <x:c r="D41" s="8" t="n">
        <x:v>23.856000900268555</x:v>
      </x:c>
      <x:c r="E41" s="8" t="n">
        <x:v>79.70730499999999</x:v>
      </x:c>
      <x:c r="F41" s="8" t="n">
        <x:v>79.06899929046631</x:v>
      </x:c>
      <x:c r="G41" s="7"/>
      <x:c r="H41" s="7"/>
    </x:row>
    <x:row r="42" ht="22" customHeight="1">
      <x:c r="A42" s="7" t="str">
        <x:v>T5SplitQkvAppendCache_017_bfloat16_random</x:v>
      </x:c>
      <x:c r="B42" s="7" t="n">
        <x:v>1</x:v>
      </x:c>
      <x:c r="C42" s="8" t="n">
        <x:v>57.39339</x:v>
      </x:c>
      <x:c r="D42" s="8" t="n">
        <x:v>56.88469886779785</x:v>
      </x:c>
      <x:c r="E42" s="8" t="n">
        <x:v>203.85553</x:v>
      </x:c>
      <x:c r="F42" s="8" t="n">
        <x:v>203.32319259643555</x:v>
      </x:c>
      <x:c r="G42" s="7"/>
      <x:c r="H42" s="7"/>
    </x:row>
    <x:row r="43" ht="22" customHeight="1">
      <x:c r="A43" s="7" t="str">
        <x:v>T5SplitQkvAppendCache_017_bfloat16_random</x:v>
      </x:c>
      <x:c r="B43" s="7" t="n">
        <x:v>2</x:v>
      </x:c>
      <x:c r="C43" s="8" t="n">
        <x:v>57.33579</x:v>
      </x:c>
      <x:c r="D43" s="8" t="n">
        <x:v>56.925997734069824</x:v>
      </x:c>
      <x:c r="E43" s="8" t="n">
        <x:v>204.063175</x:v>
      </x:c>
      <x:c r="F43" s="8" t="n">
        <x:v>203.6540985107422</x:v>
      </x:c>
      <x:c r="G43" s="7"/>
      <x:c r="H43" s="7"/>
    </x:row>
    <x:row r="44" ht="22" customHeight="1">
      <x:c r="A44" s="7" t="str">
        <x:v>T5SplitQkvAppendCache_017_bfloat16_random</x:v>
      </x:c>
      <x:c r="B44" s="7" t="n">
        <x:v>3</x:v>
      </x:c>
      <x:c r="C44" s="8" t="n">
        <x:v>57.49404</x:v>
      </x:c>
      <x:c r="D44" s="8" t="n">
        <x:v>56.95769786834717</x:v>
      </x:c>
      <x:c r="E44" s="8" t="n">
        <x:v>203.96457999999998</x:v>
      </x:c>
      <x:c r="F44" s="8" t="n">
        <x:v>203.58659744262695</x:v>
      </x:c>
      <x:c r="G44" s="7"/>
      <x:c r="H44" s="7"/>
    </x:row>
    <x:row r="45" ht="22" customHeight="1">
      <x:c r="A45" s="7" t="str">
        <x:v>T5SplitQkvAppendCache_017_bfloat16_random</x:v>
      </x:c>
      <x:c r="B45" s="7" t="n">
        <x:v>4</x:v>
      </x:c>
      <x:c r="C45" s="8" t="n">
        <x:v>57.336040000000004</x:v>
      </x:c>
      <x:c r="D45" s="8" t="n">
        <x:v>56.91009998321533</x:v>
      </x:c>
      <x:c r="E45" s="8" t="n">
        <x:v>203.88483</x:v>
      </x:c>
      <x:c r="F45" s="8" t="n">
        <x:v>203.5243034362793</x:v>
      </x:c>
      <x:c r="G45" s="7"/>
      <x:c r="H45" s="7"/>
    </x:row>
    <x:row r="46" ht="22" customHeight="1">
      <x:c r="A46" s="7" t="str">
        <x:v>T5SplitQkvAppendCache_017_bfloat16_random</x:v>
      </x:c>
      <x:c r="B46" s="7" t="n">
        <x:v>5</x:v>
      </x:c>
      <x:c r="C46" s="8" t="n">
        <x:v>57.45914</x:v>
      </x:c>
      <x:c r="D46" s="8" t="n">
        <x:v>56.947197914123535</x:v>
      </x:c>
      <x:c r="E46" s="8" t="n">
        <x:v>203.67732500000002</x:v>
      </x:c>
      <x:c r="F46" s="8" t="n">
        <x:v>203.30320358276367</x:v>
      </x:c>
      <x:c r="G46" s="7"/>
      <x:c r="H46" s="7"/>
    </x:row>
    <x:row r="47" ht="22" customHeight="1">
      <x:c r="A47" s="7" t="str">
        <x:v>T5SplitQkvAppendCache_018_bfloat16_random</x:v>
      </x:c>
      <x:c r="B47" s="7" t="n">
        <x:v>1</x:v>
      </x:c>
      <x:c r="C47" s="8" t="n">
        <x:v>24.73908</x:v>
      </x:c>
      <x:c r="D47" s="8" t="n">
        <x:v>24.033401012420654</x:v>
      </x:c>
      <x:c r="E47" s="8" t="n">
        <x:v>87.546375</x:v>
      </x:c>
      <x:c r="F47" s="8" t="n">
        <x:v>87.04879760742188</x:v>
      </x:c>
      <x:c r="G47" s="7"/>
      <x:c r="H47" s="7"/>
    </x:row>
    <x:row r="48" ht="22" customHeight="1">
      <x:c r="A48" s="7" t="str">
        <x:v>T5SplitQkvAppendCache_018_bfloat16_random</x:v>
      </x:c>
      <x:c r="B48" s="7" t="n">
        <x:v>2</x:v>
      </x:c>
      <x:c r="C48" s="8" t="n">
        <x:v>24.61978</x:v>
      </x:c>
      <x:c r="D48" s="8" t="n">
        <x:v>24.088099002838135</x:v>
      </x:c>
      <x:c r="E48" s="8" t="n">
        <x:v>87.28333</x:v>
      </x:c>
      <x:c r="F48" s="8" t="n">
        <x:v>86.89590454101562</x:v>
      </x:c>
      <x:c r="G48" s="7"/>
      <x:c r="H48" s="7"/>
    </x:row>
    <x:row r="49" ht="22" customHeight="1">
      <x:c r="A49" s="7" t="str">
        <x:v>T5SplitQkvAppendCache_018_bfloat16_random</x:v>
      </x:c>
      <x:c r="B49" s="7" t="n">
        <x:v>3</x:v>
      </x:c>
      <x:c r="C49" s="8" t="n">
        <x:v>24.923585</x:v>
      </x:c>
      <x:c r="D49" s="8" t="n">
        <x:v>24.179298877716064</x:v>
      </x:c>
      <x:c r="E49" s="8" t="n">
        <x:v>87.093775</x:v>
      </x:c>
      <x:c r="F49" s="8" t="n">
        <x:v>86.71319961547852</x:v>
      </x:c>
      <x:c r="G49" s="7"/>
      <x:c r="H49" s="7"/>
    </x:row>
    <x:row r="50" ht="22" customHeight="1">
      <x:c r="A50" s="7" t="str">
        <x:v>T5SplitQkvAppendCache_018_bfloat16_random</x:v>
      </x:c>
      <x:c r="B50" s="7" t="n">
        <x:v>4</x:v>
      </x:c>
      <x:c r="C50" s="8" t="n">
        <x:v>24.725385</x:v>
      </x:c>
      <x:c r="D50" s="8" t="n">
        <x:v>24.10710096359253</x:v>
      </x:c>
      <x:c r="E50" s="8" t="n">
        <x:v>87.50807499999999</x:v>
      </x:c>
      <x:c r="F50" s="8" t="n">
        <x:v>87.13890075683594</x:v>
      </x:c>
      <x:c r="G50" s="7"/>
      <x:c r="H50" s="7"/>
    </x:row>
    <x:row r="51" ht="22" customHeight="1">
      <x:c r="A51" s="7" t="str">
        <x:v>T5SplitQkvAppendCache_018_bfloat16_random</x:v>
      </x:c>
      <x:c r="B51" s="7" t="n">
        <x:v>5</x:v>
      </x:c>
      <x:c r="C51" s="8" t="n">
        <x:v>24.65368</x:v>
      </x:c>
      <x:c r="D51" s="8" t="n">
        <x:v>24.251399040222168</x:v>
      </x:c>
      <x:c r="E51" s="8" t="n">
        <x:v>87.243975</x:v>
      </x:c>
      <x:c r="F51" s="8" t="n">
        <x:v>86.88229560852051</x:v>
      </x:c>
      <x:c r="G51" s="7"/>
      <x:c r="H51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6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9" t="str">
        <x:v>用例 ID</x:v>
      </x:c>
      <x:c r="B1" s="9" t="str">
        <x:v>进程序号</x:v>
      </x:c>
      <x:c r="C1" s="9" t="str">
        <x:v>wall 中位数 μs</x:v>
      </x:c>
      <x:c r="D1" s="9" t="str">
        <x:v>绝对阈值 μs</x:v>
      </x:c>
      <x:c r="E1" s="9" t="str">
        <x:v>结果</x:v>
      </x:c>
    </x:row>
    <x:row r="2" ht="24" customHeight="1">
      <x:c r="A2" s="7" t="str">
        <x:v>T5SplitQkvAppendCache_001_float16_random</x:v>
      </x:c>
      <x:c r="B2" s="7" t="n">
        <x:v>1</x:v>
      </x:c>
      <x:c r="C2" s="8" t="n">
        <x:v>23.40362</x:v>
      </x:c>
      <x:c r="D2" s="8" t="n">
        <x:v>28</x:v>
      </x:c>
      <x:c r="E2" s="7" t="str">
        <x:f>IF(C2&lt;=D2,"通过","未通过")</x:f>
        <x:v>通过</x:v>
      </x:c>
    </x:row>
    <x:row r="3" ht="24" customHeight="1">
      <x:c r="A3" s="7" t="str">
        <x:v>T5SplitQkvAppendCache_005_float16_random</x:v>
      </x:c>
      <x:c r="B3" s="7" t="n">
        <x:v>1</x:v>
      </x:c>
      <x:c r="C3" s="8" t="n">
        <x:v>23.870425</x:v>
      </x:c>
      <x:c r="D3" s="8" t="n">
        <x:v>28</x:v>
      </x:c>
      <x:c r="E3" s="7" t="str">
        <x:f>IF(C3&lt;=D3,"通过","未通过")</x:f>
        <x:v>通过</x:v>
      </x:c>
    </x:row>
    <x:row r="4" ht="24" customHeight="1">
      <x:c r="A4" s="7" t="str">
        <x:v>T5SplitQkvAppendCache_006_float16_random</x:v>
      </x:c>
      <x:c r="B4" s="7" t="n">
        <x:v>1</x:v>
      </x:c>
      <x:c r="C4" s="8" t="n">
        <x:v>24.51153</x:v>
      </x:c>
      <x:c r="D4" s="8" t="n">
        <x:v>29</x:v>
      </x:c>
      <x:c r="E4" s="7" t="str">
        <x:f>IF(C4&lt;=D4,"通过","未通过")</x:f>
        <x:v>通过</x:v>
      </x:c>
    </x:row>
    <x:row r="5" ht="24" customHeight="1">
      <x:c r="A5" s="7" t="str">
        <x:v>T5SplitQkvAppendCache_007_float16_random</x:v>
      </x:c>
      <x:c r="B5" s="7" t="n">
        <x:v>1</x:v>
      </x:c>
      <x:c r="C5" s="8" t="n">
        <x:v>57.369589999999995</x:v>
      </x:c>
      <x:c r="D5" s="8" t="n">
        <x:v>75</x:v>
      </x:c>
      <x:c r="E5" s="7" t="str">
        <x:f>IF(C5&lt;=D5,"通过","未通过")</x:f>
        <x:v>通过</x:v>
      </x:c>
    </x:row>
    <x:row r="6" ht="24" customHeight="1">
      <x:c r="A6" s="7" t="str">
        <x:v>T5SplitQkvAppendCache_008_float16_random</x:v>
      </x:c>
      <x:c r="B6" s="7" t="n">
        <x:v>1</x:v>
      </x:c>
      <x:c r="C6" s="8" t="n">
        <x:v>24.156380000000002</x:v>
      </x:c>
      <x:c r="D6" s="8" t="n">
        <x:v>29</x:v>
      </x:c>
      <x:c r="E6" s="7" t="str">
        <x:f>IF(C6&lt;=D6,"通过","未通过")</x:f>
        <x:v>通过</x:v>
      </x:c>
    </x:row>
    <x:row r="7" ht="24" customHeight="1">
      <x:c r="A7" s="7" t="str">
        <x:v>T5SplitQkvAppendCache_011_bfloat16_random</x:v>
      </x:c>
      <x:c r="B7" s="7" t="n">
        <x:v>1</x:v>
      </x:c>
      <x:c r="C7" s="8" t="n">
        <x:v>24.035625</x:v>
      </x:c>
      <x:c r="D7" s="8" t="n">
        <x:v>28</x:v>
      </x:c>
      <x:c r="E7" s="7" t="str">
        <x:f>IF(C7&lt;=D7,"通过","未通过")</x:f>
        <x:v>通过</x:v>
      </x:c>
    </x:row>
    <x:row r="8" ht="24" customHeight="1">
      <x:c r="A8" s="7" t="str">
        <x:v>T5SplitQkvAppendCache_015_bfloat16_random</x:v>
      </x:c>
      <x:c r="B8" s="7" t="n">
        <x:v>1</x:v>
      </x:c>
      <x:c r="C8" s="8" t="n">
        <x:v>25.115935</x:v>
      </x:c>
      <x:c r="D8" s="8" t="n">
        <x:v>28</x:v>
      </x:c>
      <x:c r="E8" s="7" t="str">
        <x:f>IF(C8&lt;=D8,"通过","未通过")</x:f>
        <x:v>通过</x:v>
      </x:c>
    </x:row>
    <x:row r="9" ht="24" customHeight="1">
      <x:c r="A9" s="7" t="str">
        <x:v>T5SplitQkvAppendCache_016_bfloat16_random</x:v>
      </x:c>
      <x:c r="B9" s="7" t="n">
        <x:v>1</x:v>
      </x:c>
      <x:c r="C9" s="8" t="n">
        <x:v>24.379375</x:v>
      </x:c>
      <x:c r="D9" s="8" t="n">
        <x:v>29</x:v>
      </x:c>
      <x:c r="E9" s="7" t="str">
        <x:f>IF(C9&lt;=D9,"通过","未通过")</x:f>
        <x:v>通过</x:v>
      </x:c>
    </x:row>
    <x:row r="10" ht="24" customHeight="1">
      <x:c r="A10" s="7" t="str">
        <x:v>T5SplitQkvAppendCache_017_bfloat16_random</x:v>
      </x:c>
      <x:c r="B10" s="7" t="n">
        <x:v>1</x:v>
      </x:c>
      <x:c r="C10" s="8" t="n">
        <x:v>57.39339</x:v>
      </x:c>
      <x:c r="D10" s="8" t="n">
        <x:v>77</x:v>
      </x:c>
      <x:c r="E10" s="7" t="str">
        <x:f>IF(C10&lt;=D10,"通过","未通过")</x:f>
        <x:v>通过</x:v>
      </x:c>
    </x:row>
    <x:row r="11" ht="24" customHeight="1">
      <x:c r="A11" s="7" t="str">
        <x:v>T5SplitQkvAppendCache_018_bfloat16_random</x:v>
      </x:c>
      <x:c r="B11" s="7" t="n">
        <x:v>1</x:v>
      </x:c>
      <x:c r="C11" s="8" t="n">
        <x:v>24.725385</x:v>
      </x:c>
      <x:c r="D11" s="8" t="n">
        <x:v>29</x:v>
      </x:c>
      <x:c r="E11" s="7" t="str">
        <x:f>IF(C11&lt;=D11,"通过","未通过")</x:f>
        <x:v>通过</x:v>
      </x:c>
    </x:row>
    <x:row r="12" ht="24" customHeight="1">
      <x:c r="A12" s="7" t="str">
        <x:v>T5SplitQkvAppendCache_001_float16_random</x:v>
      </x:c>
      <x:c r="B12" s="7" t="n">
        <x:v>2</x:v>
      </x:c>
      <x:c r="C12" s="8" t="n">
        <x:v>23.551119999999997</x:v>
      </x:c>
      <x:c r="D12" s="8" t="n">
        <x:v>28</x:v>
      </x:c>
      <x:c r="E12" s="7" t="str">
        <x:f>IF(C12&lt;=D12,"通过","未通过")</x:f>
        <x:v>通过</x:v>
      </x:c>
    </x:row>
    <x:row r="13" ht="24" customHeight="1">
      <x:c r="A13" s="7" t="str">
        <x:v>T5SplitQkvAppendCache_005_float16_random</x:v>
      </x:c>
      <x:c r="B13" s="7" t="n">
        <x:v>2</x:v>
      </x:c>
      <x:c r="C13" s="8" t="n">
        <x:v>23.779220000000002</x:v>
      </x:c>
      <x:c r="D13" s="8" t="n">
        <x:v>28</x:v>
      </x:c>
      <x:c r="E13" s="7" t="str">
        <x:f>IF(C13&lt;=D13,"通过","未通过")</x:f>
        <x:v>通过</x:v>
      </x:c>
    </x:row>
    <x:row r="14" ht="24" customHeight="1">
      <x:c r="A14" s="7" t="str">
        <x:v>T5SplitQkvAppendCache_006_float16_random</x:v>
      </x:c>
      <x:c r="B14" s="7" t="n">
        <x:v>2</x:v>
      </x:c>
      <x:c r="C14" s="8" t="n">
        <x:v>24.600385</x:v>
      </x:c>
      <x:c r="D14" s="8" t="n">
        <x:v>29</x:v>
      </x:c>
      <x:c r="E14" s="7" t="str">
        <x:f>IF(C14&lt;=D14,"通过","未通过")</x:f>
        <x:v>通过</x:v>
      </x:c>
    </x:row>
    <x:row r="15" ht="24" customHeight="1">
      <x:c r="A15" s="7" t="str">
        <x:v>T5SplitQkvAppendCache_007_float16_random</x:v>
      </x:c>
      <x:c r="B15" s="7" t="n">
        <x:v>2</x:v>
      </x:c>
      <x:c r="C15" s="8" t="n">
        <x:v>60.996875</x:v>
      </x:c>
      <x:c r="D15" s="8" t="n">
        <x:v>75</x:v>
      </x:c>
      <x:c r="E15" s="7" t="str">
        <x:f>IF(C15&lt;=D15,"通过","未通过")</x:f>
        <x:v>通过</x:v>
      </x:c>
    </x:row>
    <x:row r="16" ht="24" customHeight="1">
      <x:c r="A16" s="7" t="str">
        <x:v>T5SplitQkvAppendCache_008_float16_random</x:v>
      </x:c>
      <x:c r="B16" s="7" t="n">
        <x:v>2</x:v>
      </x:c>
      <x:c r="C16" s="8" t="n">
        <x:v>23.820625</x:v>
      </x:c>
      <x:c r="D16" s="8" t="n">
        <x:v>29</x:v>
      </x:c>
      <x:c r="E16" s="7" t="str">
        <x:f>IF(C16&lt;=D16,"通过","未通过")</x:f>
        <x:v>通过</x:v>
      </x:c>
    </x:row>
    <x:row r="17" ht="24" customHeight="1">
      <x:c r="A17" s="7" t="str">
        <x:v>T5SplitQkvAppendCache_011_bfloat16_random</x:v>
      </x:c>
      <x:c r="B17" s="7" t="n">
        <x:v>2</x:v>
      </x:c>
      <x:c r="C17" s="8" t="n">
        <x:v>23.825924999999998</x:v>
      </x:c>
      <x:c r="D17" s="8" t="n">
        <x:v>28</x:v>
      </x:c>
      <x:c r="E17" s="7" t="str">
        <x:f>IF(C17&lt;=D17,"通过","未通过")</x:f>
        <x:v>通过</x:v>
      </x:c>
    </x:row>
    <x:row r="18" ht="24" customHeight="1">
      <x:c r="A18" s="7" t="str">
        <x:v>T5SplitQkvAppendCache_015_bfloat16_random</x:v>
      </x:c>
      <x:c r="B18" s="7" t="n">
        <x:v>2</x:v>
      </x:c>
      <x:c r="C18" s="8" t="n">
        <x:v>24.697680000000002</x:v>
      </x:c>
      <x:c r="D18" s="8" t="n">
        <x:v>28</x:v>
      </x:c>
      <x:c r="E18" s="7" t="str">
        <x:f>IF(C18&lt;=D18,"通过","未通过")</x:f>
        <x:v>通过</x:v>
      </x:c>
    </x:row>
    <x:row r="19" ht="24" customHeight="1">
      <x:c r="A19" s="7" t="str">
        <x:v>T5SplitQkvAppendCache_016_bfloat16_random</x:v>
      </x:c>
      <x:c r="B19" s="7" t="n">
        <x:v>2</x:v>
      </x:c>
      <x:c r="C19" s="8" t="n">
        <x:v>24.64713</x:v>
      </x:c>
      <x:c r="D19" s="8" t="n">
        <x:v>29</x:v>
      </x:c>
      <x:c r="E19" s="7" t="str">
        <x:f>IF(C19&lt;=D19,"通过","未通过")</x:f>
        <x:v>通过</x:v>
      </x:c>
    </x:row>
    <x:row r="20" ht="24" customHeight="1">
      <x:c r="A20" s="7" t="str">
        <x:v>T5SplitQkvAppendCache_017_bfloat16_random</x:v>
      </x:c>
      <x:c r="B20" s="7" t="n">
        <x:v>2</x:v>
      </x:c>
      <x:c r="C20" s="8" t="n">
        <x:v>61.61268</x:v>
      </x:c>
      <x:c r="D20" s="8" t="n">
        <x:v>77</x:v>
      </x:c>
      <x:c r="E20" s="7" t="str">
        <x:f>IF(C20&lt;=D20,"通过","未通过")</x:f>
        <x:v>通过</x:v>
      </x:c>
    </x:row>
    <x:row r="21" ht="24" customHeight="1">
      <x:c r="A21" s="7" t="str">
        <x:v>T5SplitQkvAppendCache_018_bfloat16_random</x:v>
      </x:c>
      <x:c r="B21" s="7" t="n">
        <x:v>2</x:v>
      </x:c>
      <x:c r="C21" s="8" t="n">
        <x:v>24.213775000000002</x:v>
      </x:c>
      <x:c r="D21" s="8" t="n">
        <x:v>29</x:v>
      </x:c>
      <x:c r="E21" s="7" t="str">
        <x:f>IF(C21&lt;=D21,"通过","未通过")</x:f>
        <x:v>通过</x:v>
      </x:c>
    </x:row>
    <x:row r="22" ht="24" customHeight="1">
      <x:c r="A22" s="7" t="str">
        <x:v>T5SplitQkvAppendCache_001_float16_random</x:v>
      </x:c>
      <x:c r="B22" s="7" t="n">
        <x:v>3</x:v>
      </x:c>
      <x:c r="C22" s="8" t="n">
        <x:v>23.942974999999997</x:v>
      </x:c>
      <x:c r="D22" s="8" t="n">
        <x:v>28</x:v>
      </x:c>
      <x:c r="E22" s="7" t="str">
        <x:f>IF(C22&lt;=D22,"通过","未通过")</x:f>
        <x:v>通过</x:v>
      </x:c>
    </x:row>
    <x:row r="23" ht="24" customHeight="1">
      <x:c r="A23" s="7" t="str">
        <x:v>T5SplitQkvAppendCache_005_float16_random</x:v>
      </x:c>
      <x:c r="B23" s="7" t="n">
        <x:v>3</x:v>
      </x:c>
      <x:c r="C23" s="8" t="n">
        <x:v>24.56143</x:v>
      </x:c>
      <x:c r="D23" s="8" t="n">
        <x:v>28</x:v>
      </x:c>
      <x:c r="E23" s="7" t="str">
        <x:f>IF(C23&lt;=D23,"通过","未通过")</x:f>
        <x:v>通过</x:v>
      </x:c>
    </x:row>
    <x:row r="24" ht="24" customHeight="1">
      <x:c r="A24" s="7" t="str">
        <x:v>T5SplitQkvAppendCache_006_float16_random</x:v>
      </x:c>
      <x:c r="B24" s="7" t="n">
        <x:v>3</x:v>
      </x:c>
      <x:c r="C24" s="8" t="n">
        <x:v>25.157735</x:v>
      </x:c>
      <x:c r="D24" s="8" t="n">
        <x:v>29</x:v>
      </x:c>
      <x:c r="E24" s="7" t="str">
        <x:f>IF(C24&lt;=D24,"通过","未通过")</x:f>
        <x:v>通过</x:v>
      </x:c>
    </x:row>
    <x:row r="25" ht="24" customHeight="1">
      <x:c r="A25" s="7" t="str">
        <x:v>T5SplitQkvAppendCache_007_float16_random</x:v>
      </x:c>
      <x:c r="B25" s="7" t="n">
        <x:v>3</x:v>
      </x:c>
      <x:c r="C25" s="8" t="n">
        <x:v>60.69582</x:v>
      </x:c>
      <x:c r="D25" s="8" t="n">
        <x:v>75</x:v>
      </x:c>
      <x:c r="E25" s="7" t="str">
        <x:f>IF(C25&lt;=D25,"通过","未通过")</x:f>
        <x:v>通过</x:v>
      </x:c>
    </x:row>
    <x:row r="26" ht="24" customHeight="1">
      <x:c r="A26" s="7" t="str">
        <x:v>T5SplitQkvAppendCache_008_float16_random</x:v>
      </x:c>
      <x:c r="B26" s="7" t="n">
        <x:v>3</x:v>
      </x:c>
      <x:c r="C26" s="8" t="n">
        <x:v>24.353330000000003</x:v>
      </x:c>
      <x:c r="D26" s="8" t="n">
        <x:v>29</x:v>
      </x:c>
      <x:c r="E26" s="7" t="str">
        <x:f>IF(C26&lt;=D26,"通过","未通过")</x:f>
        <x:v>通过</x:v>
      </x:c>
    </x:row>
    <x:row r="27" ht="24" customHeight="1">
      <x:c r="A27" s="7" t="str">
        <x:v>T5SplitQkvAppendCache_011_bfloat16_random</x:v>
      </x:c>
      <x:c r="B27" s="7" t="n">
        <x:v>3</x:v>
      </x:c>
      <x:c r="C27" s="8" t="n">
        <x:v>24.393330000000002</x:v>
      </x:c>
      <x:c r="D27" s="8" t="n">
        <x:v>28</x:v>
      </x:c>
      <x:c r="E27" s="7" t="str">
        <x:f>IF(C27&lt;=D27,"通过","未通过")</x:f>
        <x:v>通过</x:v>
      </x:c>
    </x:row>
    <x:row r="28" ht="24" customHeight="1">
      <x:c r="A28" s="7" t="str">
        <x:v>T5SplitQkvAppendCache_015_bfloat16_random</x:v>
      </x:c>
      <x:c r="B28" s="7" t="n">
        <x:v>3</x:v>
      </x:c>
      <x:c r="C28" s="8" t="n">
        <x:v>25.772645</x:v>
      </x:c>
      <x:c r="D28" s="8" t="n">
        <x:v>28</x:v>
      </x:c>
      <x:c r="E28" s="7" t="str">
        <x:f>IF(C28&lt;=D28,"通过","未通过")</x:f>
        <x:v>通过</x:v>
      </x:c>
    </x:row>
    <x:row r="29" ht="24" customHeight="1">
      <x:c r="A29" s="7" t="str">
        <x:v>T5SplitQkvAppendCache_016_bfloat16_random</x:v>
      </x:c>
      <x:c r="B29" s="7" t="n">
        <x:v>3</x:v>
      </x:c>
      <x:c r="C29" s="8" t="n">
        <x:v>25.354135</x:v>
      </x:c>
      <x:c r="D29" s="8" t="n">
        <x:v>29</x:v>
      </x:c>
      <x:c r="E29" s="7" t="str">
        <x:f>IF(C29&lt;=D29,"通过","未通过")</x:f>
        <x:v>通过</x:v>
      </x:c>
    </x:row>
    <x:row r="30" ht="24" customHeight="1">
      <x:c r="A30" s="7" t="str">
        <x:v>T5SplitQkvAppendCache_017_bfloat16_random</x:v>
      </x:c>
      <x:c r="B30" s="7" t="n">
        <x:v>3</x:v>
      </x:c>
      <x:c r="C30" s="8" t="n">
        <x:v>60.720169999999996</x:v>
      </x:c>
      <x:c r="D30" s="8" t="n">
        <x:v>77</x:v>
      </x:c>
      <x:c r="E30" s="7" t="str">
        <x:f>IF(C30&lt;=D30,"通过","未通过")</x:f>
        <x:v>通过</x:v>
      </x:c>
    </x:row>
    <x:row r="31" ht="24" customHeight="1">
      <x:c r="A31" s="7" t="str">
        <x:v>T5SplitQkvAppendCache_018_bfloat16_random</x:v>
      </x:c>
      <x:c r="B31" s="7" t="n">
        <x:v>3</x:v>
      </x:c>
      <x:c r="C31" s="8" t="n">
        <x:v>25.320990000000002</x:v>
      </x:c>
      <x:c r="D31" s="8" t="n">
        <x:v>29</x:v>
      </x:c>
      <x:c r="E31" s="7" t="str">
        <x:f>IF(C31&lt;=D31,"通过","未通过")</x:f>
        <x:v>通过</x:v>
      </x:c>
    </x:row>
    <x:row r="32" ht="24" customHeight="1">
      <x:c r="A32" s="7" t="str">
        <x:v>T5SplitQkvAppendCache_001_float16_random</x:v>
      </x:c>
      <x:c r="B32" s="7" t="n">
        <x:v>4</x:v>
      </x:c>
      <x:c r="C32" s="8" t="n">
        <x:v>23.25042</x:v>
      </x:c>
      <x:c r="D32" s="8" t="n">
        <x:v>28</x:v>
      </x:c>
      <x:c r="E32" s="7" t="str">
        <x:f>IF(C32&lt;=D32,"通过","未通过")</x:f>
        <x:v>通过</x:v>
      </x:c>
    </x:row>
    <x:row r="33" ht="24" customHeight="1">
      <x:c r="A33" s="7" t="str">
        <x:v>T5SplitQkvAppendCache_005_float16_random</x:v>
      </x:c>
      <x:c r="B33" s="7" t="n">
        <x:v>4</x:v>
      </x:c>
      <x:c r="C33" s="8" t="n">
        <x:v>23.59122</x:v>
      </x:c>
      <x:c r="D33" s="8" t="n">
        <x:v>28</x:v>
      </x:c>
      <x:c r="E33" s="7" t="str">
        <x:f>IF(C33&lt;=D33,"通过","未通过")</x:f>
        <x:v>通过</x:v>
      </x:c>
    </x:row>
    <x:row r="34" ht="24" customHeight="1">
      <x:c r="A34" s="7" t="str">
        <x:v>T5SplitQkvAppendCache_006_float16_random</x:v>
      </x:c>
      <x:c r="B34" s="7" t="n">
        <x:v>4</x:v>
      </x:c>
      <x:c r="C34" s="8" t="n">
        <x:v>24.505380000000002</x:v>
      </x:c>
      <x:c r="D34" s="8" t="n">
        <x:v>29</x:v>
      </x:c>
      <x:c r="E34" s="7" t="str">
        <x:f>IF(C34&lt;=D34,"通过","未通过")</x:f>
        <x:v>通过</x:v>
      </x:c>
    </x:row>
    <x:row r="35" ht="24" customHeight="1">
      <x:c r="A35" s="7" t="str">
        <x:v>T5SplitQkvAppendCache_007_float16_random</x:v>
      </x:c>
      <x:c r="B35" s="7" t="n">
        <x:v>4</x:v>
      </x:c>
      <x:c r="C35" s="8" t="n">
        <x:v>61.82488</x:v>
      </x:c>
      <x:c r="D35" s="8" t="n">
        <x:v>75</x:v>
      </x:c>
      <x:c r="E35" s="7" t="str">
        <x:f>IF(C35&lt;=D35,"通过","未通过")</x:f>
        <x:v>通过</x:v>
      </x:c>
    </x:row>
    <x:row r="36" ht="24" customHeight="1">
      <x:c r="A36" s="7" t="str">
        <x:v>T5SplitQkvAppendCache_008_float16_random</x:v>
      </x:c>
      <x:c r="B36" s="7" t="n">
        <x:v>4</x:v>
      </x:c>
      <x:c r="C36" s="8" t="n">
        <x:v>23.808675</x:v>
      </x:c>
      <x:c r="D36" s="8" t="n">
        <x:v>29</x:v>
      </x:c>
      <x:c r="E36" s="7" t="str">
        <x:f>IF(C36&lt;=D36,"通过","未通过")</x:f>
        <x:v>通过</x:v>
      </x:c>
    </x:row>
    <x:row r="37" ht="24" customHeight="1">
      <x:c r="A37" s="7" t="str">
        <x:v>T5SplitQkvAppendCache_011_bfloat16_random</x:v>
      </x:c>
      <x:c r="B37" s="7" t="n">
        <x:v>4</x:v>
      </x:c>
      <x:c r="C37" s="8" t="n">
        <x:v>23.83152</x:v>
      </x:c>
      <x:c r="D37" s="8" t="n">
        <x:v>28</x:v>
      </x:c>
      <x:c r="E37" s="7" t="str">
        <x:f>IF(C37&lt;=D37,"通过","未通过")</x:f>
        <x:v>通过</x:v>
      </x:c>
    </x:row>
    <x:row r="38" ht="24" customHeight="1">
      <x:c r="A38" s="7" t="str">
        <x:v>T5SplitQkvAppendCache_015_bfloat16_random</x:v>
      </x:c>
      <x:c r="B38" s="7" t="n">
        <x:v>4</x:v>
      </x:c>
      <x:c r="C38" s="8" t="n">
        <x:v>24.62463</x:v>
      </x:c>
      <x:c r="D38" s="8" t="n">
        <x:v>28</x:v>
      </x:c>
      <x:c r="E38" s="7" t="str">
        <x:f>IF(C38&lt;=D38,"通过","未通过")</x:f>
        <x:v>通过</x:v>
      </x:c>
    </x:row>
    <x:row r="39" ht="24" customHeight="1">
      <x:c r="A39" s="7" t="str">
        <x:v>T5SplitQkvAppendCache_016_bfloat16_random</x:v>
      </x:c>
      <x:c r="B39" s="7" t="n">
        <x:v>4</x:v>
      </x:c>
      <x:c r="C39" s="8" t="n">
        <x:v>24.524279999999997</x:v>
      </x:c>
      <x:c r="D39" s="8" t="n">
        <x:v>29</x:v>
      </x:c>
      <x:c r="E39" s="7" t="str">
        <x:f>IF(C39&lt;=D39,"通过","未通过")</x:f>
        <x:v>通过</x:v>
      </x:c>
    </x:row>
    <x:row r="40" ht="24" customHeight="1">
      <x:c r="A40" s="7" t="str">
        <x:v>T5SplitQkvAppendCache_017_bfloat16_random</x:v>
      </x:c>
      <x:c r="B40" s="7" t="n">
        <x:v>4</x:v>
      </x:c>
      <x:c r="C40" s="8" t="n">
        <x:v>60.443265</x:v>
      </x:c>
      <x:c r="D40" s="8" t="n">
        <x:v>77</x:v>
      </x:c>
      <x:c r="E40" s="7" t="str">
        <x:f>IF(C40&lt;=D40,"通过","未通过")</x:f>
        <x:v>通过</x:v>
      </x:c>
    </x:row>
    <x:row r="41" ht="24" customHeight="1">
      <x:c r="A41" s="7" t="str">
        <x:v>T5SplitQkvAppendCache_018_bfloat16_random</x:v>
      </x:c>
      <x:c r="B41" s="7" t="n">
        <x:v>4</x:v>
      </x:c>
      <x:c r="C41" s="8" t="n">
        <x:v>25.59914</x:v>
      </x:c>
      <x:c r="D41" s="8" t="n">
        <x:v>29</x:v>
      </x:c>
      <x:c r="E41" s="7" t="str">
        <x:f>IF(C41&lt;=D41,"通过","未通过")</x:f>
        <x:v>通过</x:v>
      </x:c>
    </x:row>
  </x:sheetData>
  <x:pageMargins left="0.7" right="0.7" top="0.75" bottom="0.75" header="0.3" footer="0.3"/>
</x:worksheet>
</file>